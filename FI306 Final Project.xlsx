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entleyedu-my.sharepoint.com/personal/npost_falcon_bentley_edu/Documents/'25 Spring/FI 306/group project/"/>
    </mc:Choice>
  </mc:AlternateContent>
  <xr:revisionPtr revIDLastSave="0" documentId="8_{5AF08D08-7331-0C4E-B042-FB9435AD1CDB}" xr6:coauthVersionLast="47" xr6:coauthVersionMax="47" xr10:uidLastSave="{00000000-0000-0000-0000-000000000000}"/>
  <bookViews>
    <workbookView xWindow="0" yWindow="500" windowWidth="28800" windowHeight="17500" firstSheet="1" activeTab="4" xr2:uid="{00000000-000D-0000-FFFF-FFFF00000000}"/>
  </bookViews>
  <sheets>
    <sheet name="Portfolio Management" sheetId="14" r:id="rId1"/>
    <sheet name="Excess Return Analysis" sheetId="12" r:id="rId2"/>
    <sheet name="DDM" sheetId="15" r:id="rId3"/>
    <sheet name="FCFF" sheetId="16" r:id="rId4"/>
    <sheet name="FCFE" sheetId="17" r:id="rId5"/>
    <sheet name="CI - Stock PX" sheetId="2" r:id="rId6"/>
    <sheet name="CI - dividend" sheetId="3" r:id="rId7"/>
    <sheet name="KMB - Stock PX" sheetId="4" r:id="rId8"/>
    <sheet name="KMB - Dividends " sheetId="5" r:id="rId9"/>
    <sheet name="EBAY - Stock PX" sheetId="7" r:id="rId10"/>
    <sheet name="EBAY - Dividends" sheetId="8" r:id="rId11"/>
    <sheet name="CAT - Stock PX" sheetId="9" r:id="rId12"/>
    <sheet name="CAT - Dividends" sheetId="10" r:id="rId13"/>
    <sheet name="SPX - Tot Ret" sheetId="6" r:id="rId14"/>
    <sheet name="10YR Treasury" sheetId="11" r:id="rId15"/>
    <sheet name="EBAY Income Statement" sheetId="18" r:id="rId16"/>
    <sheet name="EBAY Balance Sheet" sheetId="19" r:id="rId17"/>
    <sheet name="EBAY Cash Flows" sheetId="22" r:id="rId18"/>
    <sheet name="Ratios" sheetId="20" r:id="rId19"/>
    <sheet name="CAPM and WACC" sheetId="24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5" l="1"/>
  <c r="I5" i="15"/>
  <c r="C28" i="17" a="1"/>
  <c r="C28" i="17" s="1"/>
  <c r="H23" i="10"/>
  <c r="H26" i="8"/>
  <c r="H24" i="5"/>
  <c r="H20" i="3"/>
  <c r="Q29" i="16"/>
  <c r="J29" i="16"/>
  <c r="C29" i="16"/>
  <c r="E20" i="15"/>
  <c r="B1" i="24"/>
  <c r="E13" i="15"/>
  <c r="E17" i="15" s="1"/>
  <c r="D17" i="15" s="1"/>
  <c r="J25" i="16"/>
  <c r="U24" i="17"/>
  <c r="T24" i="17"/>
  <c r="S24" i="17"/>
  <c r="R24" i="17"/>
  <c r="Q24" i="17"/>
  <c r="U26" i="17"/>
  <c r="T26" i="17"/>
  <c r="S26" i="17"/>
  <c r="R26" i="17"/>
  <c r="Q26" i="17"/>
  <c r="U30" i="17"/>
  <c r="T30" i="17"/>
  <c r="S30" i="17"/>
  <c r="R30" i="17"/>
  <c r="Q30" i="17"/>
  <c r="N29" i="17"/>
  <c r="M29" i="17"/>
  <c r="L29" i="17"/>
  <c r="K29" i="17"/>
  <c r="J29" i="17"/>
  <c r="Q28" i="17" a="1"/>
  <c r="Q28" i="17" s="1"/>
  <c r="N21" i="17"/>
  <c r="M21" i="17"/>
  <c r="L21" i="17"/>
  <c r="K21" i="17"/>
  <c r="J21" i="17"/>
  <c r="Q19" i="17"/>
  <c r="Q18" i="17"/>
  <c r="Q21" i="17" s="1"/>
  <c r="R27" i="17" a="1"/>
  <c r="R27" i="17" s="1"/>
  <c r="Q10" i="17"/>
  <c r="Q9" i="17"/>
  <c r="Q8" i="17"/>
  <c r="Q4" i="17"/>
  <c r="J12" i="17"/>
  <c r="J18" i="17"/>
  <c r="J19" i="17" s="1"/>
  <c r="C12" i="17"/>
  <c r="J28" i="17" a="1"/>
  <c r="J28" i="17" s="1"/>
  <c r="K27" i="17" a="1"/>
  <c r="K27" i="17" s="1"/>
  <c r="D27" i="17" a="1"/>
  <c r="D27" i="17" s="1"/>
  <c r="J8" i="17"/>
  <c r="G24" i="17"/>
  <c r="F24" i="17"/>
  <c r="E24" i="17"/>
  <c r="D24" i="17"/>
  <c r="C24" i="17"/>
  <c r="C8" i="17"/>
  <c r="J4" i="17"/>
  <c r="C4" i="17"/>
  <c r="J10" i="17"/>
  <c r="J9" i="17"/>
  <c r="C10" i="17"/>
  <c r="C9" i="17"/>
  <c r="C7" i="17"/>
  <c r="C6" i="17"/>
  <c r="C18" i="17"/>
  <c r="C26" i="17" s="1"/>
  <c r="U22" i="16"/>
  <c r="T22" i="16"/>
  <c r="S22" i="16"/>
  <c r="R22" i="16"/>
  <c r="Q22" i="16"/>
  <c r="S15" i="16"/>
  <c r="T15" i="16" s="1"/>
  <c r="U15" i="16" s="1"/>
  <c r="R15" i="16"/>
  <c r="Q15" i="16"/>
  <c r="Q16" i="16"/>
  <c r="Q18" i="16"/>
  <c r="Q9" i="16"/>
  <c r="Q8" i="16"/>
  <c r="Q6" i="16"/>
  <c r="N18" i="16"/>
  <c r="M18" i="16"/>
  <c r="L18" i="16"/>
  <c r="K18" i="16"/>
  <c r="J18" i="16"/>
  <c r="N16" i="16"/>
  <c r="M16" i="16"/>
  <c r="L16" i="16"/>
  <c r="K16" i="16"/>
  <c r="J16" i="16"/>
  <c r="J9" i="16"/>
  <c r="J8" i="16"/>
  <c r="D15" i="16"/>
  <c r="K15" i="16"/>
  <c r="K22" i="16" s="1"/>
  <c r="J15" i="16"/>
  <c r="J22" i="16" s="1"/>
  <c r="H25" i="19"/>
  <c r="Q33" i="16"/>
  <c r="Q32" i="16"/>
  <c r="Q17" i="16"/>
  <c r="Q19" i="16" s="1"/>
  <c r="Q10" i="16"/>
  <c r="Q4" i="16"/>
  <c r="H22" i="19"/>
  <c r="G27" i="19"/>
  <c r="F27" i="19"/>
  <c r="E27" i="19"/>
  <c r="D27" i="19"/>
  <c r="C27" i="19"/>
  <c r="B27" i="19"/>
  <c r="H27" i="19" s="1"/>
  <c r="G26" i="19"/>
  <c r="F26" i="19"/>
  <c r="E26" i="19"/>
  <c r="D26" i="19"/>
  <c r="C26" i="19"/>
  <c r="G24" i="19"/>
  <c r="F24" i="19"/>
  <c r="E24" i="19"/>
  <c r="D24" i="19"/>
  <c r="C24" i="19"/>
  <c r="B24" i="19"/>
  <c r="G23" i="19"/>
  <c r="F23" i="19"/>
  <c r="E23" i="19"/>
  <c r="D23" i="19"/>
  <c r="C23" i="19"/>
  <c r="C8" i="16"/>
  <c r="G22" i="16" s="1"/>
  <c r="F22" i="16"/>
  <c r="E22" i="16"/>
  <c r="D22" i="16"/>
  <c r="C22" i="16"/>
  <c r="J33" i="16"/>
  <c r="J32" i="16"/>
  <c r="C33" i="16"/>
  <c r="C32" i="16"/>
  <c r="J10" i="16"/>
  <c r="J4" i="16"/>
  <c r="C15" i="16"/>
  <c r="E15" i="16" s="1"/>
  <c r="F15" i="16" s="1"/>
  <c r="G15" i="16" s="1"/>
  <c r="C6" i="16"/>
  <c r="C7" i="16"/>
  <c r="F69" i="7"/>
  <c r="F68" i="7"/>
  <c r="F70" i="2"/>
  <c r="F69" i="2"/>
  <c r="D2" i="6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8" i="7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8" i="4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8" i="2"/>
  <c r="E7" i="11"/>
  <c r="D11" i="2"/>
  <c r="C10" i="16"/>
  <c r="C4" i="16"/>
  <c r="P17" i="15"/>
  <c r="P18" i="15" s="1"/>
  <c r="Q16" i="15"/>
  <c r="Q15" i="15"/>
  <c r="Q14" i="15"/>
  <c r="Q13" i="15"/>
  <c r="K22" i="15"/>
  <c r="K21" i="15"/>
  <c r="K20" i="15"/>
  <c r="K19" i="15"/>
  <c r="K18" i="15"/>
  <c r="K17" i="15"/>
  <c r="J17" i="15" s="1"/>
  <c r="K16" i="15"/>
  <c r="K15" i="15"/>
  <c r="K14" i="15"/>
  <c r="K13" i="15"/>
  <c r="E23" i="15"/>
  <c r="E16" i="15"/>
  <c r="E15" i="15"/>
  <c r="E14" i="15"/>
  <c r="L18" i="18"/>
  <c r="K18" i="18"/>
  <c r="J18" i="18"/>
  <c r="I18" i="18"/>
  <c r="H18" i="18"/>
  <c r="H19" i="18"/>
  <c r="G19" i="18"/>
  <c r="F19" i="18"/>
  <c r="E19" i="18"/>
  <c r="D19" i="18"/>
  <c r="C19" i="18"/>
  <c r="B19" i="18"/>
  <c r="G20" i="19"/>
  <c r="F20" i="19"/>
  <c r="E20" i="19"/>
  <c r="D20" i="19"/>
  <c r="C20" i="19"/>
  <c r="F28" i="14"/>
  <c r="F29" i="14"/>
  <c r="G56" i="22"/>
  <c r="F56" i="22"/>
  <c r="E56" i="22"/>
  <c r="D56" i="22"/>
  <c r="C56" i="22"/>
  <c r="B56" i="22"/>
  <c r="H56" i="22" s="1"/>
  <c r="C11" i="17" s="1"/>
  <c r="G58" i="22"/>
  <c r="F58" i="22"/>
  <c r="E58" i="22"/>
  <c r="D58" i="22"/>
  <c r="C58" i="22"/>
  <c r="H58" i="22" s="1"/>
  <c r="B58" i="22"/>
  <c r="G21" i="19"/>
  <c r="F21" i="19"/>
  <c r="E21" i="19"/>
  <c r="D21" i="19"/>
  <c r="C21" i="19"/>
  <c r="B21" i="19"/>
  <c r="P4" i="19"/>
  <c r="G42" i="19"/>
  <c r="F42" i="19"/>
  <c r="E42" i="19"/>
  <c r="D42" i="19"/>
  <c r="C42" i="19"/>
  <c r="B42" i="19"/>
  <c r="G8" i="19"/>
  <c r="F8" i="19"/>
  <c r="E8" i="19"/>
  <c r="D8" i="19"/>
  <c r="C8" i="19"/>
  <c r="B8" i="19"/>
  <c r="H14" i="18"/>
  <c r="H13" i="18" s="1"/>
  <c r="C14" i="18"/>
  <c r="D14" i="18"/>
  <c r="E14" i="18"/>
  <c r="F14" i="18"/>
  <c r="G14" i="18"/>
  <c r="B14" i="18"/>
  <c r="C25" i="18"/>
  <c r="D25" i="18"/>
  <c r="E25" i="18"/>
  <c r="F25" i="18"/>
  <c r="G25" i="18"/>
  <c r="B25" i="18"/>
  <c r="F6" i="14"/>
  <c r="L24" i="14" s="1"/>
  <c r="G5" i="14"/>
  <c r="F5" i="14"/>
  <c r="G4" i="14"/>
  <c r="F4" i="14"/>
  <c r="E68" i="11"/>
  <c r="E67" i="11"/>
  <c r="E66" i="11"/>
  <c r="E65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G28" i="7"/>
  <c r="E69" i="11"/>
  <c r="F7" i="14" s="1"/>
  <c r="F14" i="14" s="1"/>
  <c r="C71" i="2"/>
  <c r="C70" i="7"/>
  <c r="F4" i="12" a="1"/>
  <c r="F4" i="12" s="1"/>
  <c r="M16" i="12" s="1"/>
  <c r="C66" i="6"/>
  <c r="C65" i="6"/>
  <c r="B64" i="6"/>
  <c r="D63" i="6"/>
  <c r="B63" i="6"/>
  <c r="D62" i="6"/>
  <c r="B62" i="6"/>
  <c r="D61" i="6"/>
  <c r="B61" i="6"/>
  <c r="D60" i="6"/>
  <c r="B60" i="6"/>
  <c r="D59" i="6"/>
  <c r="B59" i="6"/>
  <c r="D58" i="6"/>
  <c r="B58" i="6"/>
  <c r="D57" i="6"/>
  <c r="B57" i="6"/>
  <c r="D56" i="6"/>
  <c r="B56" i="6"/>
  <c r="D55" i="6"/>
  <c r="B55" i="6"/>
  <c r="D54" i="6"/>
  <c r="B54" i="6"/>
  <c r="D53" i="6"/>
  <c r="B53" i="6"/>
  <c r="D52" i="6"/>
  <c r="B52" i="6"/>
  <c r="D51" i="6"/>
  <c r="B51" i="6"/>
  <c r="D50" i="6"/>
  <c r="B50" i="6"/>
  <c r="D49" i="6"/>
  <c r="B49" i="6"/>
  <c r="D48" i="6"/>
  <c r="B48" i="6"/>
  <c r="D47" i="6"/>
  <c r="B47" i="6"/>
  <c r="D46" i="6"/>
  <c r="B46" i="6"/>
  <c r="D45" i="6"/>
  <c r="B45" i="6"/>
  <c r="D44" i="6"/>
  <c r="B44" i="6"/>
  <c r="D43" i="6"/>
  <c r="B43" i="6"/>
  <c r="D42" i="6"/>
  <c r="B42" i="6"/>
  <c r="D41" i="6"/>
  <c r="B41" i="6"/>
  <c r="D40" i="6"/>
  <c r="B40" i="6"/>
  <c r="D39" i="6"/>
  <c r="B39" i="6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L29" i="6"/>
  <c r="K29" i="6"/>
  <c r="J29" i="6"/>
  <c r="I29" i="6"/>
  <c r="H29" i="6"/>
  <c r="G29" i="6"/>
  <c r="D29" i="6"/>
  <c r="B29" i="6"/>
  <c r="L28" i="6"/>
  <c r="K28" i="6"/>
  <c r="J28" i="6"/>
  <c r="I28" i="6"/>
  <c r="H28" i="6"/>
  <c r="G28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D66" i="6"/>
  <c r="B2" i="6"/>
  <c r="E64" i="9"/>
  <c r="E56" i="9"/>
  <c r="E48" i="9"/>
  <c r="E40" i="9"/>
  <c r="E32" i="9"/>
  <c r="E24" i="9"/>
  <c r="E16" i="9"/>
  <c r="E8" i="9"/>
  <c r="D67" i="9"/>
  <c r="D66" i="9"/>
  <c r="E66" i="9" s="1"/>
  <c r="D65" i="9"/>
  <c r="E65" i="9" s="1"/>
  <c r="D64" i="9"/>
  <c r="D63" i="9"/>
  <c r="E63" i="9" s="1"/>
  <c r="D62" i="9"/>
  <c r="E62" i="9" s="1"/>
  <c r="G62" i="9" s="1"/>
  <c r="D61" i="9"/>
  <c r="E61" i="9" s="1"/>
  <c r="G61" i="9" s="1"/>
  <c r="D60" i="9"/>
  <c r="E60" i="9" s="1"/>
  <c r="D59" i="9"/>
  <c r="E59" i="9" s="1"/>
  <c r="G59" i="9" s="1"/>
  <c r="D58" i="9"/>
  <c r="E58" i="9" s="1"/>
  <c r="D57" i="9"/>
  <c r="E57" i="9" s="1"/>
  <c r="D56" i="9"/>
  <c r="D55" i="9"/>
  <c r="E55" i="9" s="1"/>
  <c r="D54" i="9"/>
  <c r="E54" i="9" s="1"/>
  <c r="D53" i="9"/>
  <c r="E53" i="9" s="1"/>
  <c r="G53" i="9" s="1"/>
  <c r="D52" i="9"/>
  <c r="E52" i="9" s="1"/>
  <c r="G52" i="9" s="1"/>
  <c r="D51" i="9"/>
  <c r="E51" i="9" s="1"/>
  <c r="G51" i="9" s="1"/>
  <c r="D50" i="9"/>
  <c r="E50" i="9" s="1"/>
  <c r="D49" i="9"/>
  <c r="E49" i="9" s="1"/>
  <c r="D48" i="9"/>
  <c r="D47" i="9"/>
  <c r="E47" i="9" s="1"/>
  <c r="D46" i="9"/>
  <c r="E46" i="9" s="1"/>
  <c r="D45" i="9"/>
  <c r="E45" i="9" s="1"/>
  <c r="G45" i="9" s="1"/>
  <c r="D44" i="9"/>
  <c r="E44" i="9" s="1"/>
  <c r="G44" i="9" s="1"/>
  <c r="D43" i="9"/>
  <c r="E43" i="9" s="1"/>
  <c r="G43" i="9" s="1"/>
  <c r="D42" i="9"/>
  <c r="E42" i="9" s="1"/>
  <c r="D41" i="9"/>
  <c r="E41" i="9" s="1"/>
  <c r="D40" i="9"/>
  <c r="D39" i="9"/>
  <c r="E39" i="9" s="1"/>
  <c r="G39" i="9" s="1"/>
  <c r="D38" i="9"/>
  <c r="E38" i="9" s="1"/>
  <c r="G38" i="9" s="1"/>
  <c r="D37" i="9"/>
  <c r="E37" i="9" s="1"/>
  <c r="G37" i="9" s="1"/>
  <c r="D36" i="9"/>
  <c r="E36" i="9" s="1"/>
  <c r="G36" i="9" s="1"/>
  <c r="D35" i="9"/>
  <c r="E35" i="9" s="1"/>
  <c r="G35" i="9" s="1"/>
  <c r="D34" i="9"/>
  <c r="E34" i="9" s="1"/>
  <c r="D33" i="9"/>
  <c r="E33" i="9" s="1"/>
  <c r="D32" i="9"/>
  <c r="D31" i="9"/>
  <c r="E31" i="9" s="1"/>
  <c r="G31" i="9" s="1"/>
  <c r="D30" i="9"/>
  <c r="E30" i="9" s="1"/>
  <c r="G30" i="9" s="1"/>
  <c r="D29" i="9"/>
  <c r="E29" i="9" s="1"/>
  <c r="G29" i="9" s="1"/>
  <c r="D28" i="9"/>
  <c r="E28" i="9" s="1"/>
  <c r="G28" i="9" s="1"/>
  <c r="D27" i="9"/>
  <c r="E27" i="9" s="1"/>
  <c r="G27" i="9" s="1"/>
  <c r="D26" i="9"/>
  <c r="E26" i="9" s="1"/>
  <c r="D25" i="9"/>
  <c r="E25" i="9" s="1"/>
  <c r="D24" i="9"/>
  <c r="D23" i="9"/>
  <c r="E23" i="9" s="1"/>
  <c r="G23" i="9" s="1"/>
  <c r="D22" i="9"/>
  <c r="E22" i="9" s="1"/>
  <c r="G22" i="9" s="1"/>
  <c r="D21" i="9"/>
  <c r="E21" i="9" s="1"/>
  <c r="G21" i="9" s="1"/>
  <c r="D20" i="9"/>
  <c r="E20" i="9" s="1"/>
  <c r="G20" i="9" s="1"/>
  <c r="D19" i="9"/>
  <c r="E19" i="9" s="1"/>
  <c r="G19" i="9" s="1"/>
  <c r="D18" i="9"/>
  <c r="E18" i="9" s="1"/>
  <c r="D17" i="9"/>
  <c r="E17" i="9" s="1"/>
  <c r="D16" i="9"/>
  <c r="D15" i="9"/>
  <c r="E15" i="9" s="1"/>
  <c r="G15" i="9" s="1"/>
  <c r="D14" i="9"/>
  <c r="E14" i="9" s="1"/>
  <c r="G14" i="9" s="1"/>
  <c r="D13" i="9"/>
  <c r="E13" i="9" s="1"/>
  <c r="G13" i="9" s="1"/>
  <c r="D12" i="9"/>
  <c r="E12" i="9" s="1"/>
  <c r="G12" i="9" s="1"/>
  <c r="D11" i="9"/>
  <c r="E11" i="9" s="1"/>
  <c r="G11" i="9" s="1"/>
  <c r="D10" i="9"/>
  <c r="E10" i="9" s="1"/>
  <c r="D9" i="9"/>
  <c r="E9" i="9" s="1"/>
  <c r="D8" i="9"/>
  <c r="E63" i="7"/>
  <c r="E62" i="7"/>
  <c r="E60" i="7"/>
  <c r="E55" i="7"/>
  <c r="E54" i="7"/>
  <c r="E52" i="7"/>
  <c r="E47" i="7"/>
  <c r="E46" i="7"/>
  <c r="E44" i="7"/>
  <c r="E39" i="7"/>
  <c r="E38" i="7"/>
  <c r="E36" i="7"/>
  <c r="G36" i="7" s="1"/>
  <c r="E31" i="7"/>
  <c r="E30" i="7"/>
  <c r="E28" i="7"/>
  <c r="E23" i="7"/>
  <c r="E22" i="7"/>
  <c r="E20" i="7"/>
  <c r="G20" i="7" s="1"/>
  <c r="E15" i="7"/>
  <c r="E14" i="7"/>
  <c r="E12" i="7"/>
  <c r="G12" i="7" s="1"/>
  <c r="D67" i="7"/>
  <c r="D66" i="7"/>
  <c r="E65" i="7" s="1"/>
  <c r="G65" i="7" s="1"/>
  <c r="D65" i="7"/>
  <c r="D64" i="7"/>
  <c r="E64" i="7" s="1"/>
  <c r="D63" i="7"/>
  <c r="D62" i="7"/>
  <c r="D61" i="7"/>
  <c r="E61" i="7" s="1"/>
  <c r="D60" i="7"/>
  <c r="D59" i="7"/>
  <c r="E59" i="7" s="1"/>
  <c r="G59" i="7" s="1"/>
  <c r="D58" i="7"/>
  <c r="E57" i="7" s="1"/>
  <c r="G57" i="7" s="1"/>
  <c r="D57" i="7"/>
  <c r="D56" i="7"/>
  <c r="E56" i="7" s="1"/>
  <c r="G56" i="7" s="1"/>
  <c r="D55" i="7"/>
  <c r="D54" i="7"/>
  <c r="D53" i="7"/>
  <c r="E53" i="7" s="1"/>
  <c r="D52" i="7"/>
  <c r="D51" i="7"/>
  <c r="E51" i="7" s="1"/>
  <c r="G51" i="7" s="1"/>
  <c r="D50" i="7"/>
  <c r="E49" i="7" s="1"/>
  <c r="G49" i="7" s="1"/>
  <c r="D49" i="7"/>
  <c r="D48" i="7"/>
  <c r="E48" i="7" s="1"/>
  <c r="D47" i="7"/>
  <c r="D46" i="7"/>
  <c r="D45" i="7"/>
  <c r="E45" i="7" s="1"/>
  <c r="D44" i="7"/>
  <c r="D43" i="7"/>
  <c r="E43" i="7" s="1"/>
  <c r="G43" i="7" s="1"/>
  <c r="D42" i="7"/>
  <c r="E41" i="7" s="1"/>
  <c r="G41" i="7" s="1"/>
  <c r="D41" i="7"/>
  <c r="D40" i="7"/>
  <c r="E40" i="7" s="1"/>
  <c r="G40" i="7" s="1"/>
  <c r="D39" i="7"/>
  <c r="D38" i="7"/>
  <c r="D37" i="7"/>
  <c r="E37" i="7" s="1"/>
  <c r="D36" i="7"/>
  <c r="D35" i="7"/>
  <c r="E35" i="7" s="1"/>
  <c r="G35" i="7" s="1"/>
  <c r="D34" i="7"/>
  <c r="E33" i="7" s="1"/>
  <c r="G33" i="7" s="1"/>
  <c r="D33" i="7"/>
  <c r="D32" i="7"/>
  <c r="E32" i="7" s="1"/>
  <c r="D31" i="7"/>
  <c r="D30" i="7"/>
  <c r="D29" i="7"/>
  <c r="E29" i="7" s="1"/>
  <c r="D28" i="7"/>
  <c r="D27" i="7"/>
  <c r="E27" i="7" s="1"/>
  <c r="G27" i="7" s="1"/>
  <c r="D26" i="7"/>
  <c r="E25" i="7" s="1"/>
  <c r="G25" i="7" s="1"/>
  <c r="D25" i="7"/>
  <c r="D24" i="7"/>
  <c r="E24" i="7" s="1"/>
  <c r="G24" i="7" s="1"/>
  <c r="D23" i="7"/>
  <c r="D22" i="7"/>
  <c r="D21" i="7"/>
  <c r="E21" i="7" s="1"/>
  <c r="D20" i="7"/>
  <c r="D19" i="7"/>
  <c r="E19" i="7" s="1"/>
  <c r="G19" i="7" s="1"/>
  <c r="D18" i="7"/>
  <c r="E17" i="7" s="1"/>
  <c r="G17" i="7" s="1"/>
  <c r="D17" i="7"/>
  <c r="D16" i="7"/>
  <c r="E16" i="7" s="1"/>
  <c r="G16" i="7" s="1"/>
  <c r="D15" i="7"/>
  <c r="D14" i="7"/>
  <c r="D13" i="7"/>
  <c r="E13" i="7" s="1"/>
  <c r="D12" i="7"/>
  <c r="D11" i="7"/>
  <c r="E11" i="7" s="1"/>
  <c r="G11" i="7" s="1"/>
  <c r="D10" i="7"/>
  <c r="E10" i="7" s="1"/>
  <c r="G10" i="7" s="1"/>
  <c r="D9" i="7"/>
  <c r="E9" i="7" s="1"/>
  <c r="G9" i="7" s="1"/>
  <c r="D8" i="7"/>
  <c r="E8" i="7" s="1"/>
  <c r="G8" i="7" s="1"/>
  <c r="D68" i="4"/>
  <c r="D67" i="4"/>
  <c r="E67" i="4" s="1"/>
  <c r="D66" i="4"/>
  <c r="E66" i="4" s="1"/>
  <c r="D65" i="4"/>
  <c r="E65" i="4" s="1"/>
  <c r="D64" i="4"/>
  <c r="E64" i="4" s="1"/>
  <c r="D63" i="4"/>
  <c r="E63" i="4" s="1"/>
  <c r="D62" i="4"/>
  <c r="E62" i="4" s="1"/>
  <c r="D61" i="4"/>
  <c r="E61" i="4" s="1"/>
  <c r="D60" i="4"/>
  <c r="E60" i="4" s="1"/>
  <c r="D59" i="4"/>
  <c r="E59" i="4" s="1"/>
  <c r="D58" i="4"/>
  <c r="E58" i="4" s="1"/>
  <c r="D57" i="4"/>
  <c r="E57" i="4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E70" i="11"/>
  <c r="B67" i="11"/>
  <c r="B68" i="11"/>
  <c r="C70" i="2"/>
  <c r="C69" i="2"/>
  <c r="C70" i="4"/>
  <c r="C69" i="4"/>
  <c r="C69" i="7"/>
  <c r="C68" i="7"/>
  <c r="G60" i="7"/>
  <c r="G44" i="7"/>
  <c r="G38" i="7"/>
  <c r="D70" i="11"/>
  <c r="B66" i="11"/>
  <c r="B65" i="11"/>
  <c r="B64" i="11"/>
  <c r="B63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C70" i="11"/>
  <c r="C69" i="11"/>
  <c r="C69" i="9"/>
  <c r="C68" i="9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B68" i="2"/>
  <c r="D68" i="2" s="1"/>
  <c r="B67" i="2"/>
  <c r="D67" i="2" s="1"/>
  <c r="B66" i="2"/>
  <c r="D66" i="2" s="1"/>
  <c r="E66" i="2" s="1"/>
  <c r="B65" i="2"/>
  <c r="D65" i="2" s="1"/>
  <c r="B64" i="2"/>
  <c r="D64" i="2" s="1"/>
  <c r="B63" i="2"/>
  <c r="D63" i="2" s="1"/>
  <c r="B62" i="2"/>
  <c r="D62" i="2" s="1"/>
  <c r="B61" i="2"/>
  <c r="D61" i="2" s="1"/>
  <c r="B60" i="2"/>
  <c r="D60" i="2" s="1"/>
  <c r="E60" i="2" s="1"/>
  <c r="B59" i="2"/>
  <c r="D59" i="2" s="1"/>
  <c r="B58" i="2"/>
  <c r="D58" i="2" s="1"/>
  <c r="E58" i="2" s="1"/>
  <c r="B57" i="2"/>
  <c r="D57" i="2" s="1"/>
  <c r="B56" i="2"/>
  <c r="D56" i="2" s="1"/>
  <c r="B55" i="2"/>
  <c r="D55" i="2" s="1"/>
  <c r="B54" i="2"/>
  <c r="D54" i="2" s="1"/>
  <c r="B53" i="2"/>
  <c r="D53" i="2" s="1"/>
  <c r="B52" i="2"/>
  <c r="D52" i="2" s="1"/>
  <c r="B51" i="2"/>
  <c r="D51" i="2" s="1"/>
  <c r="B50" i="2"/>
  <c r="D50" i="2" s="1"/>
  <c r="E50" i="2" s="1"/>
  <c r="B49" i="2"/>
  <c r="D49" i="2" s="1"/>
  <c r="B48" i="2"/>
  <c r="D48" i="2" s="1"/>
  <c r="B47" i="2"/>
  <c r="D47" i="2" s="1"/>
  <c r="B46" i="2"/>
  <c r="D46" i="2" s="1"/>
  <c r="B45" i="2"/>
  <c r="D45" i="2" s="1"/>
  <c r="B44" i="2"/>
  <c r="D44" i="2" s="1"/>
  <c r="E44" i="2" s="1"/>
  <c r="B43" i="2"/>
  <c r="D43" i="2" s="1"/>
  <c r="B42" i="2"/>
  <c r="D42" i="2" s="1"/>
  <c r="E42" i="2" s="1"/>
  <c r="B41" i="2"/>
  <c r="D41" i="2" s="1"/>
  <c r="B40" i="2"/>
  <c r="D40" i="2" s="1"/>
  <c r="B39" i="2"/>
  <c r="D39" i="2" s="1"/>
  <c r="E39" i="2" s="1"/>
  <c r="B38" i="2"/>
  <c r="D38" i="2" s="1"/>
  <c r="B37" i="2"/>
  <c r="D37" i="2" s="1"/>
  <c r="B36" i="2"/>
  <c r="D36" i="2" s="1"/>
  <c r="E36" i="2" s="1"/>
  <c r="B35" i="2"/>
  <c r="D35" i="2" s="1"/>
  <c r="B34" i="2"/>
  <c r="D34" i="2" s="1"/>
  <c r="B33" i="2"/>
  <c r="D33" i="2" s="1"/>
  <c r="B32" i="2"/>
  <c r="D32" i="2" s="1"/>
  <c r="B31" i="2"/>
  <c r="D31" i="2" s="1"/>
  <c r="E31" i="2" s="1"/>
  <c r="B30" i="2"/>
  <c r="D30" i="2" s="1"/>
  <c r="B29" i="2"/>
  <c r="D29" i="2" s="1"/>
  <c r="B28" i="2"/>
  <c r="D28" i="2" s="1"/>
  <c r="E28" i="2" s="1"/>
  <c r="B27" i="2"/>
  <c r="D27" i="2" s="1"/>
  <c r="B26" i="2"/>
  <c r="D26" i="2" s="1"/>
  <c r="B25" i="2"/>
  <c r="D25" i="2" s="1"/>
  <c r="B24" i="2"/>
  <c r="D24" i="2" s="1"/>
  <c r="B23" i="2"/>
  <c r="D23" i="2" s="1"/>
  <c r="E23" i="2" s="1"/>
  <c r="B22" i="2"/>
  <c r="D22" i="2" s="1"/>
  <c r="B21" i="2"/>
  <c r="D21" i="2" s="1"/>
  <c r="B20" i="2"/>
  <c r="D20" i="2" s="1"/>
  <c r="E20" i="2" s="1"/>
  <c r="B19" i="2"/>
  <c r="D19" i="2" s="1"/>
  <c r="B18" i="2"/>
  <c r="D18" i="2" s="1"/>
  <c r="E18" i="2" s="1"/>
  <c r="B17" i="2"/>
  <c r="D17" i="2" s="1"/>
  <c r="B16" i="2"/>
  <c r="D16" i="2" s="1"/>
  <c r="B15" i="2"/>
  <c r="D15" i="2" s="1"/>
  <c r="E15" i="2" s="1"/>
  <c r="B14" i="2"/>
  <c r="D14" i="2" s="1"/>
  <c r="B13" i="2"/>
  <c r="D13" i="2" s="1"/>
  <c r="B12" i="2"/>
  <c r="D12" i="2" s="1"/>
  <c r="E12" i="2" s="1"/>
  <c r="B11" i="2"/>
  <c r="B10" i="2"/>
  <c r="D10" i="2" s="1"/>
  <c r="E10" i="2" s="1"/>
  <c r="B9" i="2"/>
  <c r="D9" i="2" s="1"/>
  <c r="B8" i="2"/>
  <c r="D8" i="2" s="1"/>
  <c r="B8" i="7"/>
  <c r="F17" i="15" l="1"/>
  <c r="E8" i="2"/>
  <c r="E16" i="2"/>
  <c r="E24" i="2"/>
  <c r="E32" i="2"/>
  <c r="E48" i="2"/>
  <c r="E56" i="2"/>
  <c r="E64" i="2"/>
  <c r="E18" i="7"/>
  <c r="G18" i="7" s="1"/>
  <c r="E26" i="7"/>
  <c r="G26" i="7" s="1"/>
  <c r="E34" i="7"/>
  <c r="G34" i="7" s="1"/>
  <c r="E42" i="7"/>
  <c r="G42" i="7" s="1"/>
  <c r="E50" i="7"/>
  <c r="G50" i="7" s="1"/>
  <c r="E58" i="7"/>
  <c r="G58" i="7" s="1"/>
  <c r="E66" i="7"/>
  <c r="G66" i="7" s="1"/>
  <c r="E11" i="2"/>
  <c r="G11" i="2" s="1"/>
  <c r="E19" i="2"/>
  <c r="E27" i="2"/>
  <c r="G64" i="7"/>
  <c r="G48" i="7"/>
  <c r="G32" i="7"/>
  <c r="E45" i="2"/>
  <c r="G45" i="2" s="1"/>
  <c r="E53" i="2"/>
  <c r="G16" i="9"/>
  <c r="G24" i="9"/>
  <c r="G32" i="9"/>
  <c r="G40" i="9"/>
  <c r="G48" i="9"/>
  <c r="G56" i="9"/>
  <c r="G64" i="9"/>
  <c r="G9" i="9"/>
  <c r="G17" i="9"/>
  <c r="G25" i="9"/>
  <c r="G33" i="9"/>
  <c r="G41" i="9"/>
  <c r="G49" i="9"/>
  <c r="G57" i="9"/>
  <c r="G65" i="9"/>
  <c r="G10" i="9"/>
  <c r="G18" i="9"/>
  <c r="G26" i="9"/>
  <c r="G34" i="9"/>
  <c r="G42" i="9"/>
  <c r="G50" i="9"/>
  <c r="G58" i="9"/>
  <c r="G66" i="9"/>
  <c r="G8" i="2"/>
  <c r="G52" i="7"/>
  <c r="F63" i="12"/>
  <c r="F64" i="12" s="1"/>
  <c r="I21" i="12" s="1"/>
  <c r="Q11" i="17"/>
  <c r="R18" i="17"/>
  <c r="Q20" i="17"/>
  <c r="Q22" i="17" s="1"/>
  <c r="Q23" i="17" s="1"/>
  <c r="J24" i="17"/>
  <c r="K18" i="17"/>
  <c r="C29" i="17"/>
  <c r="D29" i="17"/>
  <c r="C30" i="17"/>
  <c r="J30" i="17"/>
  <c r="J20" i="17"/>
  <c r="J26" i="17"/>
  <c r="L15" i="16"/>
  <c r="Q20" i="16"/>
  <c r="Q21" i="16" s="1"/>
  <c r="H24" i="19"/>
  <c r="J17" i="16"/>
  <c r="J19" i="16" s="1"/>
  <c r="I22" i="19"/>
  <c r="G46" i="9"/>
  <c r="G54" i="9"/>
  <c r="P19" i="15"/>
  <c r="J18" i="15"/>
  <c r="H57" i="22"/>
  <c r="H21" i="19"/>
  <c r="I14" i="18"/>
  <c r="C21" i="17"/>
  <c r="K18" i="14"/>
  <c r="E18" i="15"/>
  <c r="E19" i="15"/>
  <c r="H55" i="22"/>
  <c r="C19" i="17"/>
  <c r="K7" i="14"/>
  <c r="K9" i="14"/>
  <c r="K11" i="14"/>
  <c r="K19" i="14"/>
  <c r="K4" i="14"/>
  <c r="K12" i="14"/>
  <c r="K20" i="14"/>
  <c r="K15" i="14"/>
  <c r="K23" i="14"/>
  <c r="K5" i="14"/>
  <c r="K13" i="14"/>
  <c r="K21" i="14"/>
  <c r="K17" i="14"/>
  <c r="K6" i="14"/>
  <c r="K14" i="14"/>
  <c r="M14" i="14" s="1"/>
  <c r="K22" i="14"/>
  <c r="K8" i="14"/>
  <c r="K16" i="14"/>
  <c r="K24" i="14"/>
  <c r="M24" i="14" s="1"/>
  <c r="K10" i="14"/>
  <c r="H8" i="19"/>
  <c r="H42" i="19"/>
  <c r="D18" i="17"/>
  <c r="I57" i="22" s="1"/>
  <c r="L9" i="14"/>
  <c r="L17" i="14"/>
  <c r="L10" i="14"/>
  <c r="L18" i="14"/>
  <c r="M18" i="14" s="1"/>
  <c r="L11" i="14"/>
  <c r="F13" i="14" s="1"/>
  <c r="L19" i="14"/>
  <c r="L4" i="14"/>
  <c r="L12" i="14"/>
  <c r="L20" i="14"/>
  <c r="L5" i="14"/>
  <c r="L13" i="14"/>
  <c r="L21" i="14"/>
  <c r="L6" i="14"/>
  <c r="L14" i="14"/>
  <c r="L22" i="14"/>
  <c r="L7" i="14"/>
  <c r="L15" i="14"/>
  <c r="L23" i="14"/>
  <c r="L8" i="14"/>
  <c r="L16" i="14"/>
  <c r="G15" i="7"/>
  <c r="G39" i="7"/>
  <c r="G47" i="7"/>
  <c r="G55" i="7"/>
  <c r="G63" i="7"/>
  <c r="G47" i="9"/>
  <c r="G55" i="9"/>
  <c r="G63" i="9"/>
  <c r="F69" i="9"/>
  <c r="F68" i="9"/>
  <c r="G60" i="9"/>
  <c r="G13" i="7"/>
  <c r="G61" i="7"/>
  <c r="G21" i="7"/>
  <c r="G53" i="7"/>
  <c r="G23" i="7"/>
  <c r="G31" i="7"/>
  <c r="G37" i="7"/>
  <c r="G62" i="7"/>
  <c r="G29" i="7"/>
  <c r="G45" i="7"/>
  <c r="G14" i="7"/>
  <c r="G22" i="7"/>
  <c r="G30" i="7"/>
  <c r="G46" i="7"/>
  <c r="G54" i="7"/>
  <c r="D65" i="6"/>
  <c r="E69" i="9"/>
  <c r="G8" i="9"/>
  <c r="E68" i="9"/>
  <c r="J12" i="8"/>
  <c r="E70" i="4"/>
  <c r="J20" i="5"/>
  <c r="E69" i="4"/>
  <c r="E26" i="2"/>
  <c r="E35" i="2"/>
  <c r="E40" i="2"/>
  <c r="E13" i="2"/>
  <c r="E21" i="2"/>
  <c r="E29" i="2"/>
  <c r="E37" i="2"/>
  <c r="E61" i="2"/>
  <c r="G61" i="2" s="1"/>
  <c r="E63" i="2"/>
  <c r="G63" i="2" s="1"/>
  <c r="E47" i="2"/>
  <c r="E55" i="2"/>
  <c r="G55" i="2" s="1"/>
  <c r="E52" i="2"/>
  <c r="E9" i="2"/>
  <c r="E17" i="2"/>
  <c r="E25" i="2"/>
  <c r="E33" i="2"/>
  <c r="E41" i="2"/>
  <c r="G41" i="2" s="1"/>
  <c r="E49" i="2"/>
  <c r="E57" i="2"/>
  <c r="G57" i="2" s="1"/>
  <c r="E65" i="2"/>
  <c r="E43" i="2"/>
  <c r="G43" i="2" s="1"/>
  <c r="E51" i="2"/>
  <c r="E59" i="2"/>
  <c r="E67" i="2"/>
  <c r="E34" i="2"/>
  <c r="E14" i="2"/>
  <c r="E22" i="2"/>
  <c r="E30" i="2"/>
  <c r="E38" i="2"/>
  <c r="E46" i="2"/>
  <c r="E54" i="2"/>
  <c r="E62" i="2"/>
  <c r="G64" i="4"/>
  <c r="G19" i="2"/>
  <c r="G27" i="2"/>
  <c r="G35" i="2"/>
  <c r="G17" i="4"/>
  <c r="G25" i="4"/>
  <c r="G33" i="4"/>
  <c r="G41" i="4"/>
  <c r="G49" i="4"/>
  <c r="G57" i="4"/>
  <c r="G65" i="4"/>
  <c r="G12" i="2"/>
  <c r="G20" i="2"/>
  <c r="G28" i="2"/>
  <c r="G36" i="2"/>
  <c r="G44" i="2"/>
  <c r="G52" i="2"/>
  <c r="G60" i="2"/>
  <c r="G10" i="4"/>
  <c r="G18" i="4"/>
  <c r="G26" i="4"/>
  <c r="G34" i="4"/>
  <c r="G42" i="4"/>
  <c r="G50" i="4"/>
  <c r="G58" i="4"/>
  <c r="G66" i="4"/>
  <c r="G53" i="2"/>
  <c r="G11" i="4"/>
  <c r="G19" i="4"/>
  <c r="G27" i="4"/>
  <c r="G35" i="4"/>
  <c r="G43" i="4"/>
  <c r="G51" i="4"/>
  <c r="G59" i="4"/>
  <c r="G67" i="4"/>
  <c r="G14" i="2"/>
  <c r="G62" i="2"/>
  <c r="G12" i="4"/>
  <c r="G20" i="4"/>
  <c r="G28" i="4"/>
  <c r="G36" i="4"/>
  <c r="G44" i="4"/>
  <c r="G52" i="4"/>
  <c r="G60" i="4"/>
  <c r="G15" i="2"/>
  <c r="G23" i="2"/>
  <c r="G31" i="2"/>
  <c r="G39" i="2"/>
  <c r="G47" i="2"/>
  <c r="G13" i="4"/>
  <c r="G21" i="4"/>
  <c r="G29" i="4"/>
  <c r="G37" i="4"/>
  <c r="G45" i="4"/>
  <c r="G53" i="4"/>
  <c r="G61" i="4"/>
  <c r="G16" i="2"/>
  <c r="G24" i="2"/>
  <c r="G32" i="2"/>
  <c r="G48" i="2"/>
  <c r="G56" i="2"/>
  <c r="G64" i="2"/>
  <c r="G14" i="4"/>
  <c r="G22" i="4"/>
  <c r="G30" i="4"/>
  <c r="G38" i="4"/>
  <c r="G46" i="4"/>
  <c r="G54" i="4"/>
  <c r="G62" i="4"/>
  <c r="G9" i="2"/>
  <c r="G25" i="2"/>
  <c r="G49" i="2"/>
  <c r="G15" i="4"/>
  <c r="G23" i="4"/>
  <c r="G31" i="4"/>
  <c r="G39" i="4"/>
  <c r="G47" i="4"/>
  <c r="G55" i="4"/>
  <c r="G63" i="4"/>
  <c r="G10" i="2"/>
  <c r="G18" i="2"/>
  <c r="G26" i="2"/>
  <c r="G34" i="2"/>
  <c r="G42" i="2"/>
  <c r="G50" i="2"/>
  <c r="G58" i="2"/>
  <c r="G66" i="2"/>
  <c r="G8" i="4"/>
  <c r="G16" i="4"/>
  <c r="G24" i="4"/>
  <c r="G32" i="4"/>
  <c r="G40" i="4"/>
  <c r="G48" i="4"/>
  <c r="G56" i="4"/>
  <c r="G9" i="4"/>
  <c r="J20" i="8"/>
  <c r="J13" i="8"/>
  <c r="J21" i="8"/>
  <c r="J6" i="8"/>
  <c r="J14" i="8"/>
  <c r="J22" i="8"/>
  <c r="J7" i="8"/>
  <c r="J15" i="8"/>
  <c r="J23" i="8"/>
  <c r="J8" i="8"/>
  <c r="J16" i="8"/>
  <c r="J24" i="8"/>
  <c r="J9" i="8"/>
  <c r="J17" i="8"/>
  <c r="J25" i="8"/>
  <c r="J10" i="8"/>
  <c r="J18" i="8"/>
  <c r="J11" i="8"/>
  <c r="J19" i="8"/>
  <c r="J11" i="5"/>
  <c r="J13" i="5"/>
  <c r="J3" i="5"/>
  <c r="J4" i="5"/>
  <c r="D69" i="11"/>
  <c r="J16" i="10"/>
  <c r="J9" i="10"/>
  <c r="J17" i="10"/>
  <c r="J2" i="10"/>
  <c r="J10" i="10"/>
  <c r="J8" i="10"/>
  <c r="J18" i="10"/>
  <c r="J3" i="10"/>
  <c r="J11" i="10"/>
  <c r="J19" i="10"/>
  <c r="J4" i="10"/>
  <c r="J12" i="10"/>
  <c r="J20" i="10"/>
  <c r="J5" i="10"/>
  <c r="J13" i="10"/>
  <c r="J21" i="10"/>
  <c r="J6" i="10"/>
  <c r="J14" i="10"/>
  <c r="J22" i="10"/>
  <c r="J7" i="10"/>
  <c r="J15" i="10"/>
  <c r="J19" i="5"/>
  <c r="J22" i="5"/>
  <c r="J18" i="5"/>
  <c r="J12" i="5"/>
  <c r="J5" i="5"/>
  <c r="J6" i="5"/>
  <c r="J14" i="5"/>
  <c r="J7" i="5"/>
  <c r="J15" i="5"/>
  <c r="J23" i="5"/>
  <c r="J21" i="5"/>
  <c r="J8" i="5"/>
  <c r="J16" i="5"/>
  <c r="J10" i="5"/>
  <c r="J9" i="5"/>
  <c r="J17" i="5"/>
  <c r="J17" i="3"/>
  <c r="J2" i="3"/>
  <c r="J10" i="3"/>
  <c r="J18" i="3"/>
  <c r="J16" i="3"/>
  <c r="J3" i="3"/>
  <c r="J11" i="3"/>
  <c r="J19" i="3"/>
  <c r="J8" i="3"/>
  <c r="J4" i="3"/>
  <c r="J12" i="3"/>
  <c r="J9" i="3"/>
  <c r="J5" i="3"/>
  <c r="J13" i="3"/>
  <c r="J6" i="3"/>
  <c r="J14" i="3"/>
  <c r="J7" i="3"/>
  <c r="J15" i="3"/>
  <c r="E68" i="7" l="1"/>
  <c r="E70" i="2"/>
  <c r="E69" i="7"/>
  <c r="F12" i="14"/>
  <c r="P6" i="14"/>
  <c r="M7" i="14"/>
  <c r="T29" i="17"/>
  <c r="U29" i="17"/>
  <c r="S29" i="17"/>
  <c r="R29" i="17"/>
  <c r="Q29" i="17"/>
  <c r="R19" i="17"/>
  <c r="S18" i="17"/>
  <c r="R21" i="17"/>
  <c r="Q25" i="17"/>
  <c r="R20" i="17"/>
  <c r="R22" i="17" s="1"/>
  <c r="K19" i="17"/>
  <c r="L18" i="17"/>
  <c r="K24" i="17"/>
  <c r="J22" i="17"/>
  <c r="J23" i="17" s="1"/>
  <c r="J25" i="17" s="1"/>
  <c r="J31" i="17" s="1"/>
  <c r="D26" i="17"/>
  <c r="D30" i="17"/>
  <c r="K26" i="17"/>
  <c r="K20" i="17"/>
  <c r="K30" i="17"/>
  <c r="L24" i="17"/>
  <c r="R18" i="16"/>
  <c r="R16" i="16"/>
  <c r="I25" i="19"/>
  <c r="L22" i="16"/>
  <c r="M15" i="16"/>
  <c r="R17" i="16"/>
  <c r="R19" i="16" s="1"/>
  <c r="C9" i="16"/>
  <c r="H19" i="19"/>
  <c r="H20" i="19" s="1"/>
  <c r="J20" i="16"/>
  <c r="J21" i="16" s="1"/>
  <c r="J22" i="19"/>
  <c r="K17" i="16"/>
  <c r="P20" i="15"/>
  <c r="J19" i="15"/>
  <c r="D18" i="15"/>
  <c r="D19" i="15" s="1"/>
  <c r="D20" i="15" s="1"/>
  <c r="D21" i="15" s="1"/>
  <c r="D22" i="15" s="1"/>
  <c r="C20" i="17"/>
  <c r="C22" i="17" s="1"/>
  <c r="I13" i="18"/>
  <c r="J14" i="18"/>
  <c r="I55" i="22"/>
  <c r="C16" i="16"/>
  <c r="C17" i="16" s="1"/>
  <c r="C18" i="16"/>
  <c r="H23" i="19" s="1"/>
  <c r="I19" i="19"/>
  <c r="M20" i="14"/>
  <c r="F20" i="14"/>
  <c r="F21" i="14" s="1"/>
  <c r="M6" i="14"/>
  <c r="M12" i="14"/>
  <c r="M17" i="14"/>
  <c r="M10" i="14"/>
  <c r="M4" i="14"/>
  <c r="M16" i="14"/>
  <c r="M5" i="14"/>
  <c r="M9" i="14"/>
  <c r="M19" i="14"/>
  <c r="P4" i="14"/>
  <c r="P5" i="14"/>
  <c r="M11" i="14"/>
  <c r="M23" i="14"/>
  <c r="Q5" i="14"/>
  <c r="Q6" i="14"/>
  <c r="Q4" i="14"/>
  <c r="M21" i="14"/>
  <c r="M13" i="14"/>
  <c r="M8" i="14"/>
  <c r="M22" i="14"/>
  <c r="M15" i="14"/>
  <c r="H7" i="19"/>
  <c r="H41" i="19"/>
  <c r="D19" i="17"/>
  <c r="D20" i="17" s="1"/>
  <c r="D21" i="17"/>
  <c r="E18" i="17"/>
  <c r="E4" i="12" a="1"/>
  <c r="E4" i="12" s="1"/>
  <c r="D4" i="12" a="1"/>
  <c r="D4" i="12" s="1"/>
  <c r="G69" i="7"/>
  <c r="G68" i="7"/>
  <c r="C4" i="12" a="1"/>
  <c r="C4" i="12" s="1"/>
  <c r="G69" i="9"/>
  <c r="G68" i="9"/>
  <c r="G65" i="2"/>
  <c r="G38" i="2"/>
  <c r="G29" i="2"/>
  <c r="G17" i="2"/>
  <c r="G54" i="2"/>
  <c r="G30" i="2"/>
  <c r="G21" i="2"/>
  <c r="G46" i="2"/>
  <c r="G37" i="2"/>
  <c r="G40" i="2"/>
  <c r="G22" i="2"/>
  <c r="G13" i="2"/>
  <c r="G33" i="2"/>
  <c r="G51" i="2"/>
  <c r="E69" i="2"/>
  <c r="G67" i="2"/>
  <c r="G59" i="2"/>
  <c r="G69" i="4"/>
  <c r="G70" i="4"/>
  <c r="D23" i="15" l="1"/>
  <c r="D24" i="15" s="1"/>
  <c r="D25" i="15" s="1"/>
  <c r="D26" i="15" s="1"/>
  <c r="J13" i="12"/>
  <c r="M5" i="12"/>
  <c r="L5" i="12"/>
  <c r="K5" i="12"/>
  <c r="M6" i="12"/>
  <c r="L6" i="12"/>
  <c r="L15" i="12"/>
  <c r="M7" i="12"/>
  <c r="Q31" i="17"/>
  <c r="T18" i="17"/>
  <c r="S19" i="17"/>
  <c r="S20" i="17" s="1"/>
  <c r="S22" i="17" s="1"/>
  <c r="S21" i="17"/>
  <c r="R23" i="17"/>
  <c r="R25" i="17" s="1"/>
  <c r="R31" i="17" s="1"/>
  <c r="M18" i="17"/>
  <c r="L19" i="17"/>
  <c r="E26" i="17"/>
  <c r="E29" i="17"/>
  <c r="E30" i="17"/>
  <c r="L30" i="17"/>
  <c r="M24" i="17"/>
  <c r="L26" i="17"/>
  <c r="L20" i="17"/>
  <c r="K22" i="17"/>
  <c r="S18" i="16"/>
  <c r="J25" i="19"/>
  <c r="S16" i="16"/>
  <c r="N15" i="16"/>
  <c r="N22" i="16" s="1"/>
  <c r="M22" i="16"/>
  <c r="R20" i="16"/>
  <c r="R21" i="16"/>
  <c r="S17" i="16"/>
  <c r="S19" i="16" s="1"/>
  <c r="I20" i="19"/>
  <c r="K19" i="16"/>
  <c r="K20" i="16" s="1"/>
  <c r="K21" i="16" s="1"/>
  <c r="K22" i="19"/>
  <c r="L17" i="16"/>
  <c r="C19" i="16"/>
  <c r="J24" i="12"/>
  <c r="M24" i="12"/>
  <c r="K14" i="12"/>
  <c r="M23" i="12"/>
  <c r="P21" i="15"/>
  <c r="J20" i="15"/>
  <c r="D16" i="16"/>
  <c r="D17" i="16" s="1"/>
  <c r="C23" i="17"/>
  <c r="C25" i="17" s="1"/>
  <c r="K14" i="18"/>
  <c r="J13" i="18"/>
  <c r="D22" i="17"/>
  <c r="D18" i="16"/>
  <c r="I23" i="19" s="1"/>
  <c r="I41" i="19"/>
  <c r="I7" i="19"/>
  <c r="J19" i="19"/>
  <c r="J20" i="19" s="1"/>
  <c r="Q4" i="19"/>
  <c r="Q5" i="19" s="1"/>
  <c r="F22" i="14"/>
  <c r="F25" i="14" s="1"/>
  <c r="F32" i="14" s="1"/>
  <c r="F24" i="14"/>
  <c r="J57" i="22"/>
  <c r="J55" i="22"/>
  <c r="I22" i="12"/>
  <c r="I24" i="12"/>
  <c r="I23" i="12"/>
  <c r="B2" i="24" s="1"/>
  <c r="B5" i="24" s="1"/>
  <c r="E19" i="17"/>
  <c r="E20" i="17" s="1"/>
  <c r="E21" i="17"/>
  <c r="F18" i="17"/>
  <c r="J23" i="12"/>
  <c r="G69" i="2"/>
  <c r="J22" i="12"/>
  <c r="M22" i="12"/>
  <c r="G70" i="2"/>
  <c r="B4" i="12" a="1"/>
  <c r="B4" i="12" s="1"/>
  <c r="F26" i="15" l="1"/>
  <c r="C30" i="15"/>
  <c r="I4" i="12"/>
  <c r="K4" i="12"/>
  <c r="J4" i="12"/>
  <c r="M4" i="12"/>
  <c r="L4" i="12"/>
  <c r="J13" i="17"/>
  <c r="C13" i="17"/>
  <c r="R32" i="17" s="1"/>
  <c r="Q13" i="17"/>
  <c r="U18" i="17"/>
  <c r="T19" i="17"/>
  <c r="T21" i="17"/>
  <c r="S23" i="17"/>
  <c r="S25" i="17"/>
  <c r="S31" i="17" s="1"/>
  <c r="T20" i="17"/>
  <c r="N18" i="17"/>
  <c r="N19" i="17" s="1"/>
  <c r="M19" i="17"/>
  <c r="L22" i="17"/>
  <c r="F30" i="17"/>
  <c r="F26" i="17"/>
  <c r="F29" i="17"/>
  <c r="L23" i="17"/>
  <c r="L25" i="17" s="1"/>
  <c r="L31" i="17" s="1"/>
  <c r="K23" i="17"/>
  <c r="K25" i="17" s="1"/>
  <c r="K31" i="17" s="1"/>
  <c r="M30" i="17"/>
  <c r="N24" i="17"/>
  <c r="M26" i="17"/>
  <c r="M20" i="17"/>
  <c r="M22" i="17" s="1"/>
  <c r="T16" i="16"/>
  <c r="T18" i="16"/>
  <c r="K25" i="19"/>
  <c r="S20" i="16"/>
  <c r="S21" i="16" s="1"/>
  <c r="T17" i="16"/>
  <c r="T19" i="16" s="1"/>
  <c r="L19" i="16"/>
  <c r="L20" i="16" s="1"/>
  <c r="L21" i="16" s="1"/>
  <c r="M17" i="16"/>
  <c r="L22" i="19"/>
  <c r="C20" i="16"/>
  <c r="C21" i="16" s="1"/>
  <c r="H26" i="19" s="1"/>
  <c r="J7" i="19"/>
  <c r="O5" i="15"/>
  <c r="I12" i="12"/>
  <c r="M21" i="12"/>
  <c r="J21" i="12"/>
  <c r="D19" i="16"/>
  <c r="P22" i="15"/>
  <c r="J21" i="15"/>
  <c r="D23" i="17"/>
  <c r="D25" i="17" s="1"/>
  <c r="J41" i="19"/>
  <c r="L14" i="18"/>
  <c r="L13" i="18" s="1"/>
  <c r="K13" i="18"/>
  <c r="R4" i="19"/>
  <c r="R5" i="19" s="1"/>
  <c r="E18" i="16"/>
  <c r="J23" i="19" s="1"/>
  <c r="E16" i="16"/>
  <c r="E17" i="16" s="1"/>
  <c r="K41" i="19"/>
  <c r="E22" i="17"/>
  <c r="G28" i="14"/>
  <c r="F34" i="14" s="1"/>
  <c r="G29" i="14"/>
  <c r="F33" i="14" s="1"/>
  <c r="F35" i="14"/>
  <c r="G32" i="14" s="1"/>
  <c r="K57" i="22"/>
  <c r="K55" i="22"/>
  <c r="F19" i="17"/>
  <c r="F20" i="17" s="1"/>
  <c r="F21" i="17"/>
  <c r="G18" i="17"/>
  <c r="F25" i="15" l="1"/>
  <c r="J32" i="17"/>
  <c r="Q32" i="17"/>
  <c r="K32" i="17"/>
  <c r="L32" i="17"/>
  <c r="S32" i="17"/>
  <c r="U19" i="17"/>
  <c r="U21" i="17"/>
  <c r="T22" i="17"/>
  <c r="T23" i="17"/>
  <c r="T25" i="17" s="1"/>
  <c r="T31" i="17" s="1"/>
  <c r="T32" i="17" s="1"/>
  <c r="U20" i="17"/>
  <c r="G30" i="17"/>
  <c r="G26" i="17"/>
  <c r="G29" i="17"/>
  <c r="N26" i="17"/>
  <c r="N20" i="17"/>
  <c r="N22" i="17" s="1"/>
  <c r="N30" i="17"/>
  <c r="M23" i="17"/>
  <c r="M25" i="17"/>
  <c r="M31" i="17" s="1"/>
  <c r="M32" i="17" s="1"/>
  <c r="L20" i="15"/>
  <c r="U16" i="16"/>
  <c r="L25" i="19"/>
  <c r="U18" i="16"/>
  <c r="M19" i="16"/>
  <c r="M20" i="16" s="1"/>
  <c r="M21" i="16" s="1"/>
  <c r="U17" i="16"/>
  <c r="T20" i="16"/>
  <c r="T21" i="16" s="1"/>
  <c r="N17" i="16"/>
  <c r="N19" i="16" s="1"/>
  <c r="D20" i="16"/>
  <c r="D21" i="16" s="1"/>
  <c r="I26" i="19" s="1"/>
  <c r="S4" i="19"/>
  <c r="S5" i="19" s="1"/>
  <c r="F18" i="16"/>
  <c r="K23" i="19" s="1"/>
  <c r="K7" i="19"/>
  <c r="T4" i="19" s="1"/>
  <c r="K19" i="19"/>
  <c r="K20" i="19" s="1"/>
  <c r="F20" i="15"/>
  <c r="F18" i="15"/>
  <c r="F19" i="15"/>
  <c r="R20" i="15"/>
  <c r="R17" i="15"/>
  <c r="R19" i="15"/>
  <c r="L18" i="15"/>
  <c r="L19" i="15"/>
  <c r="F23" i="15"/>
  <c r="F24" i="15"/>
  <c r="F21" i="15"/>
  <c r="L17" i="15"/>
  <c r="R18" i="15"/>
  <c r="F22" i="15"/>
  <c r="R21" i="15"/>
  <c r="P23" i="15"/>
  <c r="R22" i="15"/>
  <c r="J22" i="15"/>
  <c r="L21" i="15"/>
  <c r="F16" i="16"/>
  <c r="F17" i="16" s="1"/>
  <c r="E19" i="16"/>
  <c r="E23" i="17"/>
  <c r="E25" i="17" s="1"/>
  <c r="F22" i="17"/>
  <c r="L19" i="19"/>
  <c r="L41" i="19"/>
  <c r="L7" i="19"/>
  <c r="G33" i="14"/>
  <c r="G34" i="14"/>
  <c r="L55" i="22"/>
  <c r="L57" i="22"/>
  <c r="G19" i="17"/>
  <c r="G20" i="17" s="1"/>
  <c r="G21" i="17"/>
  <c r="G16" i="16"/>
  <c r="G18" i="16"/>
  <c r="C29" i="15" l="1"/>
  <c r="C31" i="15" s="1"/>
  <c r="C34" i="15" s="1"/>
  <c r="U22" i="17"/>
  <c r="N23" i="17"/>
  <c r="N25" i="17" s="1"/>
  <c r="N31" i="17" s="1"/>
  <c r="U19" i="16"/>
  <c r="L23" i="19"/>
  <c r="J24" i="16" s="1" a="1"/>
  <c r="J24" i="16" s="1"/>
  <c r="T5" i="19"/>
  <c r="R23" i="16" s="1" a="1"/>
  <c r="R23" i="16" s="1"/>
  <c r="N20" i="16"/>
  <c r="N21" i="16"/>
  <c r="E20" i="16"/>
  <c r="E21" i="16" s="1"/>
  <c r="J26" i="19" s="1"/>
  <c r="G17" i="16"/>
  <c r="G19" i="16" s="1"/>
  <c r="F19" i="16"/>
  <c r="L20" i="19"/>
  <c r="P24" i="15"/>
  <c r="R23" i="15"/>
  <c r="J23" i="15"/>
  <c r="L22" i="15"/>
  <c r="C31" i="17"/>
  <c r="C32" i="17" s="1"/>
  <c r="F23" i="17"/>
  <c r="F25" i="17" s="1"/>
  <c r="G22" i="17"/>
  <c r="U4" i="19"/>
  <c r="U5" i="19" s="1"/>
  <c r="G35" i="14"/>
  <c r="U23" i="17" l="1"/>
  <c r="U25" i="17" s="1"/>
  <c r="U31" i="17" s="1"/>
  <c r="N32" i="17"/>
  <c r="J34" i="17" s="1"/>
  <c r="J35" i="17"/>
  <c r="J26" i="16"/>
  <c r="U20" i="16"/>
  <c r="U21" i="16" s="1"/>
  <c r="K23" i="16" a="1"/>
  <c r="K23" i="16" s="1"/>
  <c r="K25" i="16" s="1"/>
  <c r="K26" i="16" s="1"/>
  <c r="C24" i="16" a="1"/>
  <c r="C24" i="16" s="1"/>
  <c r="C25" i="16" s="1"/>
  <c r="C26" i="16" s="1"/>
  <c r="D23" i="16" a="1"/>
  <c r="D23" i="16" s="1"/>
  <c r="G20" i="16"/>
  <c r="G21" i="16" s="1"/>
  <c r="L26" i="19" s="1"/>
  <c r="F20" i="16"/>
  <c r="F21" i="16" s="1"/>
  <c r="K26" i="19" s="1"/>
  <c r="R24" i="15"/>
  <c r="P25" i="15"/>
  <c r="J24" i="15"/>
  <c r="L23" i="15"/>
  <c r="F31" i="17"/>
  <c r="F32" i="17" s="1"/>
  <c r="G23" i="17"/>
  <c r="U32" i="17" l="1"/>
  <c r="Q34" i="17" s="1"/>
  <c r="Q35" i="17"/>
  <c r="J36" i="17"/>
  <c r="J39" i="17" s="1"/>
  <c r="J42" i="17" s="1"/>
  <c r="N25" i="16"/>
  <c r="N26" i="16" s="1"/>
  <c r="Q24" i="16" a="1"/>
  <c r="T25" i="16" s="1"/>
  <c r="T26" i="16" s="1"/>
  <c r="M25" i="16"/>
  <c r="M26" i="16" s="1"/>
  <c r="L25" i="16"/>
  <c r="L26" i="16" s="1"/>
  <c r="D25" i="16"/>
  <c r="D26" i="16" s="1"/>
  <c r="F25" i="16"/>
  <c r="F26" i="16" s="1"/>
  <c r="E25" i="16"/>
  <c r="E26" i="16" s="1"/>
  <c r="G25" i="16"/>
  <c r="G26" i="16" s="1"/>
  <c r="R25" i="15"/>
  <c r="P26" i="15"/>
  <c r="L24" i="15"/>
  <c r="J25" i="15"/>
  <c r="D31" i="17"/>
  <c r="D32" i="17" s="1"/>
  <c r="E31" i="17"/>
  <c r="E32" i="17" s="1"/>
  <c r="G25" i="17"/>
  <c r="G31" i="17" s="1"/>
  <c r="R26" i="15" l="1"/>
  <c r="O30" i="15"/>
  <c r="Q36" i="17"/>
  <c r="Q39" i="17" s="1"/>
  <c r="Q42" i="17" s="1"/>
  <c r="S25" i="16"/>
  <c r="S26" i="16" s="1"/>
  <c r="R25" i="16"/>
  <c r="R26" i="16" s="1"/>
  <c r="Q24" i="16"/>
  <c r="Q25" i="16" s="1"/>
  <c r="Q26" i="16" s="1"/>
  <c r="U25" i="16"/>
  <c r="U26" i="16" s="1"/>
  <c r="J28" i="16"/>
  <c r="J30" i="16" s="1"/>
  <c r="J34" i="16" s="1"/>
  <c r="J37" i="16" s="1"/>
  <c r="J40" i="16" s="1"/>
  <c r="C28" i="16"/>
  <c r="C30" i="16" s="1"/>
  <c r="C34" i="16" s="1"/>
  <c r="C37" i="16" s="1"/>
  <c r="C40" i="16" s="1"/>
  <c r="O29" i="15"/>
  <c r="J26" i="15"/>
  <c r="L25" i="15"/>
  <c r="G32" i="17"/>
  <c r="C34" i="17" s="1"/>
  <c r="C35" i="17"/>
  <c r="L26" i="15" l="1"/>
  <c r="I30" i="15"/>
  <c r="Q28" i="16"/>
  <c r="Q30" i="16" s="1"/>
  <c r="Q34" i="16" s="1"/>
  <c r="Q37" i="16" s="1"/>
  <c r="Q40" i="16" s="1"/>
  <c r="O31" i="15"/>
  <c r="O34" i="15" s="1"/>
  <c r="I29" i="15"/>
  <c r="C36" i="17"/>
  <c r="C39" i="17" s="1"/>
  <c r="C42" i="17" s="1"/>
  <c r="I31" i="15" l="1"/>
  <c r="I34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<sst xmlns="http://schemas.openxmlformats.org/spreadsheetml/2006/main" count="1428" uniqueCount="495">
  <si>
    <t>CI</t>
  </si>
  <si>
    <t xml:space="preserve">KMB </t>
  </si>
  <si>
    <t>EBAY</t>
  </si>
  <si>
    <t>CAT</t>
  </si>
  <si>
    <t>SPX</t>
  </si>
  <si>
    <t>Stock Beta's</t>
  </si>
  <si>
    <t>CI Beta</t>
  </si>
  <si>
    <t>KMB Beta</t>
  </si>
  <si>
    <t>EBAY Beta</t>
  </si>
  <si>
    <t>CAT Beta</t>
  </si>
  <si>
    <t>Stock Alpha's</t>
  </si>
  <si>
    <t>CI Alpha</t>
  </si>
  <si>
    <t>KMB Alpha</t>
  </si>
  <si>
    <t>EBAY Alpha</t>
  </si>
  <si>
    <t>CAT Alpha</t>
  </si>
  <si>
    <t>SD</t>
  </si>
  <si>
    <t>Weight</t>
  </si>
  <si>
    <t>Return</t>
  </si>
  <si>
    <t>PX_Change</t>
  </si>
  <si>
    <t>average</t>
  </si>
  <si>
    <t>Covariance</t>
  </si>
  <si>
    <t>risk free</t>
  </si>
  <si>
    <t>Security</t>
  </si>
  <si>
    <t>CI US Equity</t>
  </si>
  <si>
    <t>KEY</t>
  </si>
  <si>
    <t>calculated row</t>
  </si>
  <si>
    <t>Non useful</t>
  </si>
  <si>
    <t>Start Date</t>
  </si>
  <si>
    <t>End Date</t>
  </si>
  <si>
    <t>Period</t>
  </si>
  <si>
    <t>M</t>
  </si>
  <si>
    <t>Currency</t>
  </si>
  <si>
    <t>USD</t>
  </si>
  <si>
    <t>Date</t>
  </si>
  <si>
    <t>Lookup Date</t>
  </si>
  <si>
    <t>PX_LAST</t>
  </si>
  <si>
    <t>Dividends paid</t>
  </si>
  <si>
    <t>Risk Free (10yrbd)</t>
  </si>
  <si>
    <t>AVG</t>
  </si>
  <si>
    <t>total</t>
  </si>
  <si>
    <t>geometric average</t>
  </si>
  <si>
    <t xml:space="preserve"> </t>
  </si>
  <si>
    <t>Declarati…↓</t>
  </si>
  <si>
    <t>Ex Date</t>
  </si>
  <si>
    <t>Record</t>
  </si>
  <si>
    <t>Payable</t>
  </si>
  <si>
    <t>Curr</t>
  </si>
  <si>
    <t>Amount</t>
  </si>
  <si>
    <t>Type</t>
  </si>
  <si>
    <t>quarter end price</t>
  </si>
  <si>
    <t>12)</t>
  </si>
  <si>
    <t>Regular Cash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</si>
  <si>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</si>
  <si>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</si>
  <si>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</si>
  <si>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</si>
  <si>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</si>
  <si>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</si>
  <si>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</si>
  <si>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</si>
  <si>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</si>
  <si>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</si>
  <si>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</si>
  <si>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</si>
  <si>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</si>
  <si>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</si>
  <si>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</si>
  <si>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</si>
  <si>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</si>
  <si>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KMB US Equity</t>
  </si>
  <si>
    <t>Dividends</t>
  </si>
  <si>
    <t>Declaration</t>
  </si>
  <si>
    <t>record</t>
  </si>
  <si>
    <t>30)</t>
  </si>
  <si>
    <t>31)</t>
  </si>
  <si>
    <t>32)</t>
  </si>
  <si>
    <t>EBAY US Equity</t>
  </si>
  <si>
    <t>EBAY US Equity                Settings                                                                                                                  Dividend/Split Summary</t>
  </si>
  <si>
    <t xml:space="preserve">                                     eBay Inc</t>
  </si>
  <si>
    <t>CAT US Equity</t>
  </si>
  <si>
    <t>PX_CHANGE</t>
  </si>
  <si>
    <t>lookup date</t>
  </si>
  <si>
    <t>11)</t>
  </si>
  <si>
    <t>BDVD Projection</t>
  </si>
  <si>
    <t>Last Px</t>
  </si>
  <si>
    <t>Px_Change(%)</t>
  </si>
  <si>
    <t>Close Price</t>
  </si>
  <si>
    <t>Prc Appr</t>
  </si>
  <si>
    <t>Total Return</t>
  </si>
  <si>
    <t>Period Appr</t>
  </si>
  <si>
    <t>Period Return</t>
  </si>
  <si>
    <t>STD</t>
  </si>
  <si>
    <t>USGG10YR Index</t>
  </si>
  <si>
    <t>CHG_PCT_1D</t>
  </si>
  <si>
    <t>PX_Last (%)</t>
  </si>
  <si>
    <t>Sharpe Ratio</t>
  </si>
  <si>
    <t>Port Return</t>
  </si>
  <si>
    <t xml:space="preserve">Port St Dev </t>
  </si>
  <si>
    <t>St Dev</t>
  </si>
  <si>
    <t>Sales</t>
  </si>
  <si>
    <t>Cogs</t>
  </si>
  <si>
    <t>EBIT</t>
  </si>
  <si>
    <t>Expenses</t>
  </si>
  <si>
    <t>FCFF</t>
  </si>
  <si>
    <t>Years</t>
  </si>
  <si>
    <t>eBay Inc. (EBAY)</t>
  </si>
  <si>
    <t>$67.05</t>
  </si>
  <si>
    <t>31 DEC '24</t>
  </si>
  <si>
    <t>31 DEC '23</t>
  </si>
  <si>
    <t>31 DEC '22</t>
  </si>
  <si>
    <t>31 DEC '21</t>
  </si>
  <si>
    <t>31 DEC '20</t>
  </si>
  <si>
    <t>31 DEC '19</t>
  </si>
  <si>
    <t>RECAP</t>
  </si>
  <si>
    <t>Net revenues</t>
  </si>
  <si>
    <t>Cost of net revenues</t>
  </si>
  <si>
    <t>Gross profit</t>
  </si>
  <si>
    <t>Total operating expenses</t>
  </si>
  <si>
    <t>Sales and marketing</t>
  </si>
  <si>
    <t>Product development</t>
  </si>
  <si>
    <t>General and administrative</t>
  </si>
  <si>
    <t>Provision for transaction losses</t>
  </si>
  <si>
    <t>Amortization of acquired intangible assets</t>
  </si>
  <si>
    <t>Income from operations</t>
  </si>
  <si>
    <t>Interest and other, net</t>
  </si>
  <si>
    <t>Gain / loss on equity investments and warrant, net</t>
  </si>
  <si>
    <t>Interest and other income / expense, net</t>
  </si>
  <si>
    <t>Interest expense</t>
  </si>
  <si>
    <t>Interest and other income, net excluding interest expense</t>
  </si>
  <si>
    <t>Gain / loss on divested business</t>
  </si>
  <si>
    <t>Income from continuing operations before income taxes</t>
  </si>
  <si>
    <t>Provision for income taxes</t>
  </si>
  <si>
    <t>Income / loss from continuing operations</t>
  </si>
  <si>
    <t>Minority interests</t>
  </si>
  <si>
    <t>Income / loss from discontinued operations, net of income taxes</t>
  </si>
  <si>
    <t>Net income / loss</t>
  </si>
  <si>
    <t>Per share</t>
  </si>
  <si>
    <t>Basic</t>
  </si>
  <si>
    <t>Continuing operations</t>
  </si>
  <si>
    <t>Discontinued operations</t>
  </si>
  <si>
    <t>Diluted</t>
  </si>
  <si>
    <t>Weighted average shares</t>
  </si>
  <si>
    <t>All figures in millions of U.S. Dollar except per share items.</t>
  </si>
  <si>
    <t>Rev growth</t>
  </si>
  <si>
    <t>Gross Profit</t>
  </si>
  <si>
    <t>NOPAT</t>
  </si>
  <si>
    <t>Assumptions:</t>
  </si>
  <si>
    <t>Tax Rate</t>
  </si>
  <si>
    <t>Revenue growth</t>
  </si>
  <si>
    <t>Source: Value Line</t>
  </si>
  <si>
    <t>Assumptions</t>
  </si>
  <si>
    <t>COGS as % sales</t>
  </si>
  <si>
    <t>Expenses as % of sales</t>
  </si>
  <si>
    <t>as % of sales</t>
  </si>
  <si>
    <t>GAAP/IFRS Balance Sheet</t>
  </si>
  <si>
    <t>Total assets</t>
  </si>
  <si>
    <t>Total current assets</t>
  </si>
  <si>
    <t>Cash and cash equivalents</t>
  </si>
  <si>
    <t>Short-term investments</t>
  </si>
  <si>
    <t>Equity investment in Adevinta</t>
  </si>
  <si>
    <t>Loans and interest receivable, net</t>
  </si>
  <si>
    <t>Funds receivable customer accounts</t>
  </si>
  <si>
    <t>Customer accounts and funds receivable</t>
  </si>
  <si>
    <t>Other current assets</t>
  </si>
  <si>
    <t>Accounts receivable, net</t>
  </si>
  <si>
    <t>Other current assets excluding accounts receivable, net</t>
  </si>
  <si>
    <t>Current assets held for sale</t>
  </si>
  <si>
    <t>Current assets of discontinued operations</t>
  </si>
  <si>
    <t>Long-term investments</t>
  </si>
  <si>
    <t>Property and equipment, net</t>
  </si>
  <si>
    <t>Goodwill</t>
  </si>
  <si>
    <t>Operating lease right-of-use assets</t>
  </si>
  <si>
    <t>Deferred tax asset, non-current</t>
  </si>
  <si>
    <t>Long-term assets held for sale</t>
  </si>
  <si>
    <t>Long-term assets of discontinued operations</t>
  </si>
  <si>
    <t>Equity investment in adevinta</t>
  </si>
  <si>
    <t>Other assets</t>
  </si>
  <si>
    <t>Intangible assets, net</t>
  </si>
  <si>
    <t>Other assets excluding intangible assets, net</t>
  </si>
  <si>
    <t>Warrant asset</t>
  </si>
  <si>
    <t>Other assets excluding warrant asset</t>
  </si>
  <si>
    <t>Total liabilities and stockholders' equity</t>
  </si>
  <si>
    <t>Total liabilities</t>
  </si>
  <si>
    <t>Total current liabilities</t>
  </si>
  <si>
    <t>Short-term debt</t>
  </si>
  <si>
    <t>Accounts payable</t>
  </si>
  <si>
    <t>Funds payable and amounts due to customers</t>
  </si>
  <si>
    <t>Accrued expenses and other current liabilities</t>
  </si>
  <si>
    <t>Borrowings from credit agreement</t>
  </si>
  <si>
    <t>Customer accounts and funds payable</t>
  </si>
  <si>
    <t>Accrued expenses and other current liabilities excluding borrowings from credit agreement and customer accounts and funds payable</t>
  </si>
  <si>
    <t>Deferred revenue</t>
  </si>
  <si>
    <t>Income taxes payable</t>
  </si>
  <si>
    <t>Current liabilities held for sale</t>
  </si>
  <si>
    <t>Current liabilities of discontinued operations</t>
  </si>
  <si>
    <t>Operating lease liabilities</t>
  </si>
  <si>
    <t>Deferred and other tax liabilities, net</t>
  </si>
  <si>
    <t>Long-term debt</t>
  </si>
  <si>
    <t>Other liabilities</t>
  </si>
  <si>
    <t>Long-term liabilities held for sale</t>
  </si>
  <si>
    <t>Long-term liabilities of discontinued operations</t>
  </si>
  <si>
    <t>Total stockholders' equity</t>
  </si>
  <si>
    <t>Common stock</t>
  </si>
  <si>
    <t>Additional paid-in capital</t>
  </si>
  <si>
    <t>Unearned stock-based compensation</t>
  </si>
  <si>
    <t>Treasury stock</t>
  </si>
  <si>
    <t>Retained earnings</t>
  </si>
  <si>
    <t>Accumulated other comprehensive income</t>
  </si>
  <si>
    <t>Growth</t>
  </si>
  <si>
    <t>-</t>
  </si>
  <si>
    <t>Common Size</t>
  </si>
  <si>
    <t>All figures in millions of U.S. Dollar.</t>
  </si>
  <si>
    <t>Net Working Capital</t>
  </si>
  <si>
    <t>Change</t>
  </si>
  <si>
    <t>DEC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</si>
  <si>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</si>
  <si>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</si>
  <si>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</si>
  <si>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</si>
  <si>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</si>
  <si>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</si>
  <si>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</si>
  <si>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</si>
  <si>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DEC '15</t>
  </si>
  <si>
    <t>Restate</t>
  </si>
  <si>
    <t xml:space="preserve"> Profitability</t>
  </si>
  <si>
    <t>Gross Margin</t>
  </si>
  <si>
    <t>SG&amp;A to Sales</t>
  </si>
  <si>
    <t>Operating Margin</t>
  </si>
  <si>
    <t>Pretax Margin</t>
  </si>
  <si>
    <t>Net Margin</t>
  </si>
  <si>
    <t>Free Cash Flow Margin</t>
  </si>
  <si>
    <t>Free Cash Flow Conversion Ratio</t>
  </si>
  <si>
    <t>Capex To Sales</t>
  </si>
  <si>
    <t>Return on Assets</t>
  </si>
  <si>
    <t xml:space="preserve">Return on Equity </t>
  </si>
  <si>
    <t>Return on Common Equity</t>
  </si>
  <si>
    <t>Return on Total Capital</t>
  </si>
  <si>
    <t>Return on Invested Capital</t>
  </si>
  <si>
    <t>Cash Flow Return on Invested Capital</t>
  </si>
  <si>
    <t xml:space="preserve"> Valuation</t>
  </si>
  <si>
    <t>Price/Sales</t>
  </si>
  <si>
    <t>Price/Earnings</t>
  </si>
  <si>
    <t>Price/Book Value</t>
  </si>
  <si>
    <t>Price/Tangible Book Value</t>
  </si>
  <si>
    <t>Price/Cash Flow</t>
  </si>
  <si>
    <t>Price/Free Cash Flow</t>
  </si>
  <si>
    <t>Dividend Yield (%)</t>
  </si>
  <si>
    <t>Enterprise Value/EBIT</t>
  </si>
  <si>
    <t>Enterprise Value/EBITDA</t>
  </si>
  <si>
    <t>Enterprise Value/Sales</t>
  </si>
  <si>
    <t>Total Debt/Enterprise Value</t>
  </si>
  <si>
    <t xml:space="preserve"> Per Share</t>
  </si>
  <si>
    <t>Sales per Share</t>
  </si>
  <si>
    <t>EBIT (Operating Income) per Share</t>
  </si>
  <si>
    <t>EPS (recurring)</t>
  </si>
  <si>
    <t>EPS (basic)</t>
  </si>
  <si>
    <t>EPS (diluted)</t>
  </si>
  <si>
    <t>Dividends per Share</t>
  </si>
  <si>
    <t>Dividend Payout Ratio (%)</t>
  </si>
  <si>
    <t>Book Value per Share</t>
  </si>
  <si>
    <t>Tangible Book Value per Share</t>
  </si>
  <si>
    <t>Cash Flow per Share</t>
  </si>
  <si>
    <t>Free Cash Flow per Share</t>
  </si>
  <si>
    <t>Diluted Shares Outstanding  (M)</t>
  </si>
  <si>
    <t>Basic Shares Outstanding  (M)</t>
  </si>
  <si>
    <t>Total Shares Outstanding  (M)</t>
  </si>
  <si>
    <t xml:space="preserve"> Asset Turnover Analysis</t>
  </si>
  <si>
    <t>Cash &amp; ST Investments</t>
  </si>
  <si>
    <t>Receivables</t>
  </si>
  <si>
    <t>Current Assets</t>
  </si>
  <si>
    <t>Fixed Assets</t>
  </si>
  <si>
    <t>Total Assets</t>
  </si>
  <si>
    <t xml:space="preserve"> DuPont Analysis</t>
  </si>
  <si>
    <t xml:space="preserve">   Asset Turnover (x)</t>
  </si>
  <si>
    <t xml:space="preserve">    x Pretax Margin (%)</t>
  </si>
  <si>
    <t xml:space="preserve"> = Pretax Return on Assets (%)</t>
  </si>
  <si>
    <t xml:space="preserve">    x Tax Rate Complement (1-Tax Rate) (%)</t>
  </si>
  <si>
    <t xml:space="preserve"> = Return on Assets (%)</t>
  </si>
  <si>
    <t xml:space="preserve">    x Equity Multiplier (Assets/Equity)</t>
  </si>
  <si>
    <t xml:space="preserve"> = Return on Equity (%)</t>
  </si>
  <si>
    <t xml:space="preserve">    x Earnings Retention (1-Payout) (%)</t>
  </si>
  <si>
    <t xml:space="preserve"> = Reinvestment Rate (%)</t>
  </si>
  <si>
    <t>Note: EBIT Return on Assets (%)</t>
  </si>
  <si>
    <t>Note: Interest as % Assets</t>
  </si>
  <si>
    <t xml:space="preserve"> Operating Efficiency</t>
  </si>
  <si>
    <t>Revenue/Employee (actual)</t>
  </si>
  <si>
    <t>Net Income/Employee (actual)</t>
  </si>
  <si>
    <t>Assets/Employee (actual)</t>
  </si>
  <si>
    <t>Receivables Turnover</t>
  </si>
  <si>
    <t>Payables Turnover</t>
  </si>
  <si>
    <t xml:space="preserve">Asset Turnover </t>
  </si>
  <si>
    <t>Working Capital Turnover</t>
  </si>
  <si>
    <t xml:space="preserve"> Operating Cycle - Days</t>
  </si>
  <si>
    <t xml:space="preserve">   Days of Inventory on Hand</t>
  </si>
  <si>
    <t xml:space="preserve">    + Days of Sales Outstanding</t>
  </si>
  <si>
    <t xml:space="preserve"> = Operating Cycle</t>
  </si>
  <si>
    <t xml:space="preserve">    - Days of Payables Outstanding</t>
  </si>
  <si>
    <t xml:space="preserve"> Liquidity</t>
  </si>
  <si>
    <t>Current Ratio (x)</t>
  </si>
  <si>
    <t>Quick Ratio (x)</t>
  </si>
  <si>
    <t>Cash Ratio</t>
  </si>
  <si>
    <t>Cash &amp; ST Inv/Current Assets</t>
  </si>
  <si>
    <t>CFO/Current Liabilities</t>
  </si>
  <si>
    <t xml:space="preserve"> Coverage</t>
  </si>
  <si>
    <t>Net Debt/EBITDA</t>
  </si>
  <si>
    <t>Net Debt/(EBITDA-Capex)</t>
  </si>
  <si>
    <t>Total Debt/EBITDA</t>
  </si>
  <si>
    <t>EBIT/Interest Expense (Int. Coverage)</t>
  </si>
  <si>
    <t>EBITDA/Interest Expense</t>
  </si>
  <si>
    <t>Fixed-charge Coverage Ratio</t>
  </si>
  <si>
    <t>CFO/Interest Expense</t>
  </si>
  <si>
    <t>Cash Dividend Coverage Ratio</t>
  </si>
  <si>
    <t>LT Debt/EBITDA</t>
  </si>
  <si>
    <t>Net Debt/FFO</t>
  </si>
  <si>
    <t>LT Debt/FFO</t>
  </si>
  <si>
    <t>FCF/Total Debt</t>
  </si>
  <si>
    <t>CFO/Total Debt</t>
  </si>
  <si>
    <t>Total Debt/EBIT</t>
  </si>
  <si>
    <t>Net Debt/EBIT</t>
  </si>
  <si>
    <t>EBITDA-Capex/Interest Expense</t>
  </si>
  <si>
    <t xml:space="preserve"> Leverage</t>
  </si>
  <si>
    <t>LT Debt/Total Equity</t>
  </si>
  <si>
    <t>LT Debt/Total Capital</t>
  </si>
  <si>
    <t>LT Debt/Total Assets</t>
  </si>
  <si>
    <t>Total Debt/Total Assets (%)</t>
  </si>
  <si>
    <t>Net Debt/Total Equity (%)</t>
  </si>
  <si>
    <t>Total Debt/Equity (%)</t>
  </si>
  <si>
    <t>Net Debt/Total Capital</t>
  </si>
  <si>
    <t>Total Debt/Total Capital</t>
  </si>
  <si>
    <t>All figures in millions of U.S. Dollar except per share and labeled items.</t>
  </si>
  <si>
    <t>Risk-free rate</t>
  </si>
  <si>
    <t>Risk Aversion</t>
  </si>
  <si>
    <t>Optimal Allocation Computation</t>
  </si>
  <si>
    <t>Optimal Risky Portfolio Allocation</t>
  </si>
  <si>
    <t>Optimal T-Notes Allocation</t>
  </si>
  <si>
    <t>Optimal Risky Portfolio Weights</t>
  </si>
  <si>
    <t>Ebay</t>
  </si>
  <si>
    <t>Cigna</t>
  </si>
  <si>
    <t>Optimal Risky Portfolio</t>
  </si>
  <si>
    <t>Investment</t>
  </si>
  <si>
    <t>T-Notes</t>
  </si>
  <si>
    <t>Asset</t>
  </si>
  <si>
    <t>eBay</t>
  </si>
  <si>
    <t>Total</t>
  </si>
  <si>
    <t>Allocation</t>
  </si>
  <si>
    <t>Change in NWC</t>
  </si>
  <si>
    <t>Dep and Amort</t>
  </si>
  <si>
    <t>Captial Expendatures</t>
  </si>
  <si>
    <t>Long term debt repayments</t>
  </si>
  <si>
    <t>Net cash provided by operating activities</t>
  </si>
  <si>
    <t>Adjustments</t>
  </si>
  <si>
    <t>Depreciation and amortization</t>
  </si>
  <si>
    <t>Stock-based compensation</t>
  </si>
  <si>
    <t>Loss / gain on sale of investments and other, net</t>
  </si>
  <si>
    <t>Gain on sale of business</t>
  </si>
  <si>
    <t>Deferred income taxes</t>
  </si>
  <si>
    <t>Change in fair value of warrant</t>
  </si>
  <si>
    <t>Change in fair value of equity investment in Adevinta</t>
  </si>
  <si>
    <t>Loss on impairment of equity investment in Paytm Mall</t>
  </si>
  <si>
    <t>Change in fair value of equity investment in Adyen</t>
  </si>
  <si>
    <t>Gain on equity investment in KakaoBank</t>
  </si>
  <si>
    <t>Change in fair value of equity investment in Adyen excluding gain on equity investment in KaKaobank</t>
  </si>
  <si>
    <t>Change in fair value of equity investment in Gmarket</t>
  </si>
  <si>
    <t>Gain / loss on divestiture of businesses</t>
  </si>
  <si>
    <t>Changes in assets and liabilities, net of acquisition effects</t>
  </si>
  <si>
    <t>Accounts receivable</t>
  </si>
  <si>
    <t>Other non-current assets</t>
  </si>
  <si>
    <t>Accrued expenses and other liabilities</t>
  </si>
  <si>
    <t>Income taxes payable and other tax liabilities</t>
  </si>
  <si>
    <t>Other</t>
  </si>
  <si>
    <t>Net cash provided by continuing operating activities</t>
  </si>
  <si>
    <t>Net cash provided by / used in discontinued operating activities</t>
  </si>
  <si>
    <t>Net cash provided by / used in investing activities</t>
  </si>
  <si>
    <t>Purchases of property and equipment</t>
  </si>
  <si>
    <t>Purchases of investments</t>
  </si>
  <si>
    <t>Maturities and sales of investments</t>
  </si>
  <si>
    <t>Maturities and sales of investments excluding Proceeds from the sale of shares in KakaoBank</t>
  </si>
  <si>
    <t>Proceeds from the sale of shares in KakaoBank</t>
  </si>
  <si>
    <t>Settlement of foreign exchange derivative instruments for equity investments</t>
  </si>
  <si>
    <t>Exercise of options under warrant</t>
  </si>
  <si>
    <t>Equity investment in Flipkart</t>
  </si>
  <si>
    <t>Acquisition of TCGplayer, net of cash acquired</t>
  </si>
  <si>
    <t>Proceeds from sale of shares in Adevinta</t>
  </si>
  <si>
    <t>Proceeds from the sale of shares in Adyen</t>
  </si>
  <si>
    <t>Proceeds from sale of shares in Gmarket, net</t>
  </si>
  <si>
    <t>Net cash provided by / used in continuing investing activities</t>
  </si>
  <si>
    <t>Net cash provided by / used in discontinued investing activities</t>
  </si>
  <si>
    <t>Net cash used in / provided by financing activities</t>
  </si>
  <si>
    <t>Proceeds from issuance of common stock</t>
  </si>
  <si>
    <t>Repurchases of common stock</t>
  </si>
  <si>
    <t>Tax withholdings related to net share settlements of restricted stock units and awards</t>
  </si>
  <si>
    <t>Payments for dividends</t>
  </si>
  <si>
    <t>Proceeds from issuance of long-term debt, net</t>
  </si>
  <si>
    <t>Repayment of debt</t>
  </si>
  <si>
    <t>Borrowings under commercial paper program</t>
  </si>
  <si>
    <t>Net funds receivable and payable activity</t>
  </si>
  <si>
    <t>Net cash provided by / used in continuing financing activities</t>
  </si>
  <si>
    <t>Net cash provided by / used in discontinued financing activities</t>
  </si>
  <si>
    <t>Effect of exchange rate changes on cash and cash equivalents</t>
  </si>
  <si>
    <t>Net decrease / increase in cash and cash equivalents before net decrease / increase in cash and cash equivalents - continuing</t>
  </si>
  <si>
    <t>Net increase / decrease in cash, cash equivalents and restricted cash</t>
  </si>
  <si>
    <t>Cash and cash equivalents at beginning of period</t>
  </si>
  <si>
    <t>Cash and cash equivalents at end of period</t>
  </si>
  <si>
    <t>Interest</t>
  </si>
  <si>
    <t>Income taxes</t>
  </si>
  <si>
    <t>Non-cash investing activities</t>
  </si>
  <si>
    <t>Common stock issued for acquisition</t>
  </si>
  <si>
    <t>Note receivable from divested business</t>
  </si>
  <si>
    <t>Relinquishment of equity method investment</t>
  </si>
  <si>
    <t>Sale of business in exchange for ownership interest in Flipkart</t>
  </si>
  <si>
    <t>Common stock options assumed pursuant to acquisition</t>
  </si>
  <si>
    <t>GMarket - equity investment</t>
  </si>
  <si>
    <t>Cash, cash equivalents and restricted cash at end of period</t>
  </si>
  <si>
    <t>Cash, cash equivalents and restricted cash of continuing operations at end of period</t>
  </si>
  <si>
    <t>Cash and cash equivalents of discontinued operations</t>
  </si>
  <si>
    <t>Cash and cash equivalents of discontinued operations - Enterprise</t>
  </si>
  <si>
    <t>Cash and cash equivalents of discontinued operations - PayPal</t>
  </si>
  <si>
    <t>Customer accounts</t>
  </si>
  <si>
    <t>Restricted cash included in short-term investments</t>
  </si>
  <si>
    <t>Restricted cash included in long-term investments</t>
  </si>
  <si>
    <t>Restricted cash</t>
  </si>
  <si>
    <t>Restricted cash included in other assets</t>
  </si>
  <si>
    <t>Restricted cash included in other current assets</t>
  </si>
  <si>
    <t>FCFE</t>
  </si>
  <si>
    <t>Year</t>
  </si>
  <si>
    <t>Year (index)</t>
  </si>
  <si>
    <t>Required rate of return</t>
  </si>
  <si>
    <t>Complete Portfolio</t>
  </si>
  <si>
    <t>Required Rate of Return</t>
  </si>
  <si>
    <t>Discounted</t>
  </si>
  <si>
    <t>DPS</t>
  </si>
  <si>
    <t>Rate of Return</t>
  </si>
  <si>
    <t>Present Value</t>
  </si>
  <si>
    <t>Terminal Growth Rate</t>
  </si>
  <si>
    <t>Sum of PV of FCFF</t>
  </si>
  <si>
    <t>PV of terminal Value</t>
  </si>
  <si>
    <t xml:space="preserve">Enterprise Value </t>
  </si>
  <si>
    <t>+ Cash</t>
  </si>
  <si>
    <t>- Debt</t>
  </si>
  <si>
    <t>Implied Equity Value</t>
  </si>
  <si>
    <t>Shares outstanding</t>
  </si>
  <si>
    <t>Equity Per Share</t>
  </si>
  <si>
    <t>Sum of PV of FCFE</t>
  </si>
  <si>
    <t xml:space="preserve">Terminal Value of FCFE </t>
  </si>
  <si>
    <t>Shares Outstanding (M)</t>
  </si>
  <si>
    <t>PV opf 10y Dividends</t>
  </si>
  <si>
    <t xml:space="preserve">PV of Terminal Value </t>
  </si>
  <si>
    <t>Risk Free Rate</t>
  </si>
  <si>
    <t>Sum of Total</t>
  </si>
  <si>
    <t>MRP</t>
  </si>
  <si>
    <t>CAPM</t>
  </si>
  <si>
    <t xml:space="preserve">Years(index) </t>
  </si>
  <si>
    <t>Interest Expense</t>
  </si>
  <si>
    <t>Revenue</t>
  </si>
  <si>
    <t>Tax Expense</t>
  </si>
  <si>
    <t>Net Income</t>
  </si>
  <si>
    <t>WACC</t>
  </si>
  <si>
    <t>Equity Value</t>
  </si>
  <si>
    <t>Long term debt issuance</t>
  </si>
  <si>
    <t xml:space="preserve">Valuation Gap </t>
  </si>
  <si>
    <t>Current Market Value</t>
  </si>
  <si>
    <t>BUY</t>
  </si>
  <si>
    <t>Factset</t>
  </si>
  <si>
    <t>SELL</t>
  </si>
  <si>
    <t>Growth Rate</t>
  </si>
  <si>
    <t>Long term growth</t>
  </si>
  <si>
    <t>Short term growth</t>
  </si>
  <si>
    <t>Mid term growth</t>
  </si>
  <si>
    <t>BASE CASE</t>
  </si>
  <si>
    <t>BULL CASE</t>
  </si>
  <si>
    <t>BEAR CASE</t>
  </si>
  <si>
    <t>Excess Return</t>
  </si>
  <si>
    <t>Variance</t>
  </si>
  <si>
    <t>COGS</t>
  </si>
  <si>
    <t>COGS as % Rev</t>
  </si>
  <si>
    <t>Expenses as % of Rev</t>
  </si>
  <si>
    <t>CAPEX as % of Rev</t>
  </si>
  <si>
    <t xml:space="preserve">Dep &amp; Amort </t>
  </si>
  <si>
    <t>Source: FactSet</t>
  </si>
  <si>
    <t>Debt Repayment %</t>
  </si>
  <si>
    <t>Debt Issuance %</t>
  </si>
  <si>
    <t>Interest Expense as %</t>
  </si>
  <si>
    <t>Portfolio Weighting</t>
  </si>
  <si>
    <t>Capital Allocation Line</t>
  </si>
  <si>
    <t>Stock Return Statistics</t>
  </si>
  <si>
    <t>Stock Returns</t>
  </si>
  <si>
    <t xml:space="preserve">CI </t>
  </si>
  <si>
    <t>St Dev of Optimal Risky Portfolio</t>
  </si>
  <si>
    <t>Via Data</t>
  </si>
  <si>
    <t>Via Slope</t>
  </si>
  <si>
    <t>Via Intercept</t>
  </si>
  <si>
    <t>Correlation</t>
  </si>
  <si>
    <t>Covarience</t>
  </si>
  <si>
    <t>Stock Excess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</si>
</sst>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00"/>
    <numFmt numFmtId="165" formatCode="0.000%"/>
    <numFmt numFmtId="166" formatCode="0.0000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64">
    <xf numFmtId="0" fontId="0" fillId="0" borderId="0" xfId="0"/>
    <xf numFmtId="0" fontId="0" fillId="33" borderId="0" xfId="0" applyFill="1"/>
    <xf numFmtId="22" fontId="1" fillId="0" borderId="0" xfId="42"/>
    <xf numFmtId="14" fontId="0" fillId="0" borderId="0" xfId="0" applyNumberFormat="1"/>
    <xf numFmtId="0" fontId="17" fillId="0" borderId="0" xfId="0" applyFont="1"/>
    <xf numFmtId="0" fontId="0" fillId="35" borderId="0" xfId="0" applyFill="1"/>
    <xf numFmtId="164" fontId="0" fillId="34" borderId="0" xfId="0" applyNumberFormat="1" applyFill="1"/>
    <xf numFmtId="0" fontId="17" fillId="33" borderId="0" xfId="0" applyFont="1" applyFill="1"/>
    <xf numFmtId="165" fontId="0" fillId="0" borderId="0" xfId="43" applyNumberFormat="1" applyFont="1"/>
    <xf numFmtId="165" fontId="0" fillId="33" borderId="0" xfId="43" applyNumberFormat="1" applyFont="1" applyFill="1"/>
    <xf numFmtId="165" fontId="0" fillId="0" borderId="0" xfId="0" applyNumberFormat="1"/>
    <xf numFmtId="0" fontId="17" fillId="0" borderId="0" xfId="0" applyFont="1" applyAlignment="1">
      <alignment horizontal="right"/>
    </xf>
    <xf numFmtId="0" fontId="0" fillId="37" borderId="0" xfId="0" applyFill="1"/>
    <xf numFmtId="0" fontId="17" fillId="0" borderId="10" xfId="0" applyFont="1" applyBorder="1" applyAlignment="1">
      <alignment horizontal="center" vertical="center"/>
    </xf>
    <xf numFmtId="0" fontId="17" fillId="33" borderId="10" xfId="0" applyFont="1" applyFill="1" applyBorder="1" applyAlignment="1">
      <alignment horizontal="center" vertical="center"/>
    </xf>
    <xf numFmtId="0" fontId="17" fillId="34" borderId="10" xfId="0" applyFont="1" applyFill="1" applyBorder="1" applyAlignment="1">
      <alignment horizontal="center" vertical="center"/>
    </xf>
    <xf numFmtId="165" fontId="0" fillId="34" borderId="11" xfId="0" applyNumberFormat="1" applyFill="1" applyBorder="1"/>
    <xf numFmtId="165" fontId="0" fillId="34" borderId="12" xfId="0" applyNumberFormat="1" applyFill="1" applyBorder="1"/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33" borderId="0" xfId="43" applyNumberFormat="1" applyFont="1" applyFill="1" applyAlignment="1">
      <alignment horizontal="center"/>
    </xf>
    <xf numFmtId="165" fontId="0" fillId="0" borderId="0" xfId="43" applyNumberFormat="1" applyFont="1" applyAlignment="1">
      <alignment horizontal="center"/>
    </xf>
    <xf numFmtId="14" fontId="0" fillId="37" borderId="0" xfId="0" applyNumberFormat="1" applyFill="1"/>
    <xf numFmtId="0" fontId="19" fillId="33" borderId="0" xfId="0" applyFont="1" applyFill="1"/>
    <xf numFmtId="0" fontId="17" fillId="0" borderId="10" xfId="0" applyFont="1" applyBorder="1" applyAlignment="1">
      <alignment horizontal="center"/>
    </xf>
    <xf numFmtId="0" fontId="17" fillId="33" borderId="10" xfId="0" applyFont="1" applyFill="1" applyBorder="1" applyAlignment="1">
      <alignment horizontal="center"/>
    </xf>
    <xf numFmtId="0" fontId="17" fillId="0" borderId="10" xfId="0" applyFont="1" applyBorder="1"/>
    <xf numFmtId="0" fontId="17" fillId="33" borderId="10" xfId="0" applyFont="1" applyFill="1" applyBorder="1"/>
    <xf numFmtId="0" fontId="21" fillId="33" borderId="10" xfId="0" applyFont="1" applyFill="1" applyBorder="1"/>
    <xf numFmtId="0" fontId="21" fillId="38" borderId="10" xfId="0" applyFont="1" applyFill="1" applyBorder="1" applyAlignment="1">
      <alignment horizontal="center" vertical="center"/>
    </xf>
    <xf numFmtId="165" fontId="19" fillId="39" borderId="12" xfId="0" applyNumberFormat="1" applyFont="1" applyFill="1" applyBorder="1"/>
    <xf numFmtId="165" fontId="21" fillId="39" borderId="15" xfId="0" applyNumberFormat="1" applyFont="1" applyFill="1" applyBorder="1" applyAlignment="1">
      <alignment horizontal="center"/>
    </xf>
    <xf numFmtId="10" fontId="0" fillId="35" borderId="0" xfId="43" applyNumberFormat="1" applyFont="1" applyFill="1"/>
    <xf numFmtId="0" fontId="0" fillId="0" borderId="16" xfId="0" applyBorder="1"/>
    <xf numFmtId="0" fontId="0" fillId="34" borderId="16" xfId="0" applyFill="1" applyBorder="1"/>
    <xf numFmtId="10" fontId="0" fillId="34" borderId="16" xfId="43" applyNumberFormat="1" applyFont="1" applyFill="1" applyBorder="1"/>
    <xf numFmtId="10" fontId="0" fillId="34" borderId="11" xfId="43" applyNumberFormat="1" applyFont="1" applyFill="1" applyBorder="1"/>
    <xf numFmtId="10" fontId="0" fillId="35" borderId="12" xfId="43" applyNumberFormat="1" applyFont="1" applyFill="1" applyBorder="1"/>
    <xf numFmtId="0" fontId="0" fillId="34" borderId="15" xfId="0" applyFill="1" applyBorder="1"/>
    <xf numFmtId="165" fontId="0" fillId="34" borderId="15" xfId="0" applyNumberFormat="1" applyFill="1" applyBorder="1"/>
    <xf numFmtId="164" fontId="0" fillId="36" borderId="16" xfId="0" applyNumberFormat="1" applyFill="1" applyBorder="1"/>
    <xf numFmtId="10" fontId="0" fillId="36" borderId="16" xfId="43" applyNumberFormat="1" applyFont="1" applyFill="1" applyBorder="1"/>
    <xf numFmtId="10" fontId="0" fillId="34" borderId="0" xfId="43" applyNumberFormat="1" applyFont="1" applyFill="1" applyBorder="1"/>
    <xf numFmtId="0" fontId="17" fillId="0" borderId="11" xfId="0" applyFont="1" applyBorder="1"/>
    <xf numFmtId="0" fontId="17" fillId="0" borderId="12" xfId="0" applyFont="1" applyBorder="1"/>
    <xf numFmtId="0" fontId="17" fillId="0" borderId="15" xfId="0" applyFont="1" applyBorder="1"/>
    <xf numFmtId="166" fontId="0" fillId="0" borderId="17" xfId="0" applyNumberFormat="1" applyBorder="1"/>
    <xf numFmtId="166" fontId="0" fillId="0" borderId="18" xfId="0" applyNumberFormat="1" applyBorder="1"/>
    <xf numFmtId="166" fontId="0" fillId="0" borderId="19" xfId="0" applyNumberFormat="1" applyBorder="1"/>
    <xf numFmtId="10" fontId="0" fillId="0" borderId="17" xfId="43" applyNumberFormat="1" applyFont="1" applyBorder="1"/>
    <xf numFmtId="10" fontId="0" fillId="0" borderId="18" xfId="43" applyNumberFormat="1" applyFont="1" applyBorder="1"/>
    <xf numFmtId="10" fontId="0" fillId="0" borderId="19" xfId="43" applyNumberFormat="1" applyFont="1" applyBorder="1"/>
    <xf numFmtId="165" fontId="0" fillId="0" borderId="12" xfId="43" applyNumberFormat="1" applyFont="1" applyBorder="1"/>
    <xf numFmtId="10" fontId="0" fillId="37" borderId="0" xfId="0" applyNumberFormat="1" applyFill="1"/>
    <xf numFmtId="164" fontId="0" fillId="37" borderId="0" xfId="0" applyNumberFormat="1" applyFill="1"/>
    <xf numFmtId="10" fontId="0" fillId="37" borderId="0" xfId="43" applyNumberFormat="1" applyFont="1" applyFill="1"/>
    <xf numFmtId="0" fontId="0" fillId="36" borderId="0" xfId="0" applyFill="1"/>
    <xf numFmtId="165" fontId="19" fillId="36" borderId="12" xfId="43" applyNumberFormat="1" applyFont="1" applyFill="1" applyBorder="1" applyAlignment="1">
      <alignment vertical="center"/>
    </xf>
    <xf numFmtId="10" fontId="0" fillId="0" borderId="0" xfId="43" applyNumberFormat="1" applyFont="1"/>
    <xf numFmtId="0" fontId="0" fillId="0" borderId="13" xfId="0" applyBorder="1"/>
    <xf numFmtId="0" fontId="20" fillId="0" borderId="14" xfId="0" applyFont="1" applyBorder="1" applyAlignment="1">
      <alignment horizontal="center"/>
    </xf>
    <xf numFmtId="9" fontId="0" fillId="0" borderId="0" xfId="43" applyFont="1"/>
    <xf numFmtId="43" fontId="0" fillId="0" borderId="0" xfId="44" applyFont="1"/>
    <xf numFmtId="10" fontId="0" fillId="0" borderId="0" xfId="0" applyNumberFormat="1"/>
    <xf numFmtId="2" fontId="0" fillId="0" borderId="0" xfId="0" applyNumberFormat="1"/>
    <xf numFmtId="0" fontId="0" fillId="34" borderId="0" xfId="0" applyFill="1"/>
    <xf numFmtId="10" fontId="0" fillId="34" borderId="0" xfId="43" applyNumberFormat="1" applyFont="1" applyFill="1"/>
    <xf numFmtId="0" fontId="0" fillId="0" borderId="10" xfId="0" applyBorder="1"/>
    <xf numFmtId="9" fontId="0" fillId="0" borderId="0" xfId="0" applyNumberFormat="1"/>
    <xf numFmtId="0" fontId="0" fillId="0" borderId="12" xfId="0" applyBorder="1"/>
    <xf numFmtId="2" fontId="0" fillId="0" borderId="12" xfId="0" applyNumberFormat="1" applyBorder="1"/>
    <xf numFmtId="167" fontId="0" fillId="0" borderId="12" xfId="0" applyNumberFormat="1" applyBorder="1"/>
    <xf numFmtId="167" fontId="0" fillId="0" borderId="15" xfId="0" applyNumberFormat="1" applyBorder="1"/>
    <xf numFmtId="167" fontId="0" fillId="0" borderId="10" xfId="0" applyNumberFormat="1" applyBorder="1"/>
    <xf numFmtId="0" fontId="0" fillId="0" borderId="20" xfId="0" applyBorder="1"/>
    <xf numFmtId="43" fontId="0" fillId="0" borderId="12" xfId="44" applyFont="1" applyBorder="1"/>
    <xf numFmtId="43" fontId="0" fillId="0" borderId="0" xfId="44" applyFont="1" applyBorder="1"/>
    <xf numFmtId="0" fontId="17" fillId="40" borderId="0" xfId="0" applyFont="1" applyFill="1"/>
    <xf numFmtId="9" fontId="17" fillId="40" borderId="0" xfId="43" applyFont="1" applyFill="1"/>
    <xf numFmtId="43" fontId="0" fillId="0" borderId="0" xfId="0" applyNumberFormat="1"/>
    <xf numFmtId="43" fontId="0" fillId="0" borderId="12" xfId="0" applyNumberFormat="1" applyBorder="1"/>
    <xf numFmtId="43" fontId="0" fillId="0" borderId="21" xfId="0" applyNumberFormat="1" applyBorder="1"/>
    <xf numFmtId="43" fontId="17" fillId="0" borderId="12" xfId="0" applyNumberFormat="1" applyFont="1" applyBorder="1"/>
    <xf numFmtId="10" fontId="0" fillId="0" borderId="10" xfId="0" applyNumberFormat="1" applyBorder="1"/>
    <xf numFmtId="8" fontId="0" fillId="0" borderId="0" xfId="0" applyNumberFormat="1"/>
    <xf numFmtId="0" fontId="0" fillId="0" borderId="24" xfId="0" applyBorder="1"/>
    <xf numFmtId="6" fontId="0" fillId="0" borderId="25" xfId="0" applyNumberFormat="1" applyBorder="1"/>
    <xf numFmtId="43" fontId="0" fillId="0" borderId="22" xfId="44" applyFont="1" applyBorder="1"/>
    <xf numFmtId="10" fontId="17" fillId="34" borderId="27" xfId="43" applyNumberFormat="1" applyFont="1" applyFill="1" applyBorder="1"/>
    <xf numFmtId="165" fontId="17" fillId="34" borderId="28" xfId="0" applyNumberFormat="1" applyFont="1" applyFill="1" applyBorder="1"/>
    <xf numFmtId="165" fontId="17" fillId="34" borderId="26" xfId="43" applyNumberFormat="1" applyFont="1" applyFill="1" applyBorder="1"/>
    <xf numFmtId="9" fontId="0" fillId="0" borderId="10" xfId="43" applyFont="1" applyBorder="1"/>
    <xf numFmtId="0" fontId="0" fillId="0" borderId="15" xfId="0" applyBorder="1"/>
    <xf numFmtId="10" fontId="0" fillId="0" borderId="23" xfId="43" applyNumberFormat="1" applyFont="1" applyBorder="1"/>
    <xf numFmtId="10" fontId="0" fillId="0" borderId="24" xfId="43" applyNumberFormat="1" applyFont="1" applyBorder="1"/>
    <xf numFmtId="8" fontId="17" fillId="0" borderId="16" xfId="0" applyNumberFormat="1" applyFont="1" applyBorder="1"/>
    <xf numFmtId="0" fontId="0" fillId="0" borderId="0" xfId="0" applyAlignment="1">
      <alignment wrapText="1"/>
    </xf>
    <xf numFmtId="167" fontId="0" fillId="0" borderId="0" xfId="0" applyNumberFormat="1"/>
    <xf numFmtId="43" fontId="0" fillId="0" borderId="10" xfId="44" applyFont="1" applyBorder="1"/>
    <xf numFmtId="43" fontId="0" fillId="0" borderId="15" xfId="44" applyFont="1" applyBorder="1"/>
    <xf numFmtId="0" fontId="0" fillId="0" borderId="30" xfId="0" applyBorder="1"/>
    <xf numFmtId="10" fontId="0" fillId="0" borderId="0" xfId="43" applyNumberFormat="1" applyFont="1" applyBorder="1"/>
    <xf numFmtId="9" fontId="0" fillId="0" borderId="0" xfId="43" applyFont="1" applyBorder="1"/>
    <xf numFmtId="0" fontId="0" fillId="0" borderId="31" xfId="0" applyBorder="1"/>
    <xf numFmtId="8" fontId="0" fillId="0" borderId="30" xfId="0" applyNumberFormat="1" applyBorder="1"/>
    <xf numFmtId="9" fontId="19" fillId="0" borderId="0" xfId="0" applyNumberFormat="1" applyFont="1"/>
    <xf numFmtId="14" fontId="17" fillId="0" borderId="11" xfId="0" applyNumberFormat="1" applyFont="1" applyBorder="1"/>
    <xf numFmtId="0" fontId="17" fillId="0" borderId="26" xfId="0" applyFont="1" applyBorder="1"/>
    <xf numFmtId="10" fontId="23" fillId="3" borderId="27" xfId="25" applyNumberFormat="1" applyFont="1" applyBorder="1"/>
    <xf numFmtId="0" fontId="23" fillId="3" borderId="10" xfId="25" applyFont="1" applyBorder="1" applyAlignment="1">
      <alignment horizontal="center" vertical="center"/>
    </xf>
    <xf numFmtId="10" fontId="0" fillId="0" borderId="10" xfId="43" applyNumberFormat="1" applyFont="1" applyBorder="1"/>
    <xf numFmtId="0" fontId="17" fillId="0" borderId="31" xfId="0" applyFont="1" applyBorder="1"/>
    <xf numFmtId="0" fontId="0" fillId="0" borderId="11" xfId="0" applyBorder="1"/>
    <xf numFmtId="10" fontId="0" fillId="0" borderId="20" xfId="0" applyNumberFormat="1" applyBorder="1"/>
    <xf numFmtId="10" fontId="0" fillId="0" borderId="30" xfId="43" applyNumberFormat="1" applyFont="1" applyBorder="1"/>
    <xf numFmtId="10" fontId="0" fillId="0" borderId="31" xfId="43" applyNumberFormat="1" applyFont="1" applyBorder="1"/>
    <xf numFmtId="9" fontId="19" fillId="0" borderId="10" xfId="0" applyNumberFormat="1" applyFont="1" applyBorder="1"/>
    <xf numFmtId="8" fontId="0" fillId="0" borderId="31" xfId="0" applyNumberFormat="1" applyBorder="1"/>
    <xf numFmtId="9" fontId="0" fillId="0" borderId="20" xfId="0" applyNumberFormat="1" applyBorder="1"/>
    <xf numFmtId="10" fontId="0" fillId="0" borderId="30" xfId="0" applyNumberFormat="1" applyBorder="1"/>
    <xf numFmtId="9" fontId="0" fillId="0" borderId="30" xfId="43" applyFont="1" applyBorder="1"/>
    <xf numFmtId="43" fontId="17" fillId="0" borderId="0" xfId="0" applyNumberFormat="1" applyFont="1"/>
    <xf numFmtId="167" fontId="0" fillId="0" borderId="30" xfId="0" applyNumberFormat="1" applyBorder="1"/>
    <xf numFmtId="43" fontId="0" fillId="0" borderId="30" xfId="44" applyFont="1" applyBorder="1"/>
    <xf numFmtId="0" fontId="0" fillId="0" borderId="12" xfId="0" quotePrefix="1" applyBorder="1"/>
    <xf numFmtId="2" fontId="0" fillId="0" borderId="30" xfId="0" applyNumberFormat="1" applyBorder="1"/>
    <xf numFmtId="43" fontId="0" fillId="0" borderId="30" xfId="0" applyNumberFormat="1" applyBorder="1"/>
    <xf numFmtId="0" fontId="17" fillId="0" borderId="12" xfId="0" quotePrefix="1" applyFont="1" applyBorder="1"/>
    <xf numFmtId="43" fontId="17" fillId="0" borderId="30" xfId="0" applyNumberFormat="1" applyFont="1" applyBorder="1"/>
    <xf numFmtId="8" fontId="0" fillId="0" borderId="10" xfId="0" applyNumberFormat="1" applyBorder="1"/>
    <xf numFmtId="8" fontId="0" fillId="0" borderId="15" xfId="0" applyNumberFormat="1" applyBorder="1"/>
    <xf numFmtId="167" fontId="0" fillId="0" borderId="31" xfId="0" applyNumberFormat="1" applyBorder="1"/>
    <xf numFmtId="43" fontId="0" fillId="0" borderId="31" xfId="44" applyFont="1" applyBorder="1"/>
    <xf numFmtId="43" fontId="0" fillId="0" borderId="15" xfId="0" applyNumberFormat="1" applyBorder="1"/>
    <xf numFmtId="43" fontId="0" fillId="0" borderId="32" xfId="44" applyFont="1" applyBorder="1"/>
    <xf numFmtId="0" fontId="17" fillId="0" borderId="21" xfId="0" quotePrefix="1" applyFont="1" applyBorder="1"/>
    <xf numFmtId="0" fontId="0" fillId="42" borderId="29" xfId="0" applyFill="1" applyBorder="1" applyAlignment="1">
      <alignment horizontal="center"/>
    </xf>
    <xf numFmtId="0" fontId="17" fillId="42" borderId="29" xfId="0" applyFont="1" applyFill="1" applyBorder="1" applyAlignment="1">
      <alignment horizontal="center"/>
    </xf>
    <xf numFmtId="0" fontId="17" fillId="42" borderId="29" xfId="0" applyFont="1" applyFill="1" applyBorder="1"/>
    <xf numFmtId="10" fontId="0" fillId="0" borderId="31" xfId="0" applyNumberFormat="1" applyBorder="1"/>
    <xf numFmtId="0" fontId="0" fillId="0" borderId="26" xfId="0" applyBorder="1"/>
    <xf numFmtId="0" fontId="0" fillId="42" borderId="0" xfId="0" applyFill="1"/>
    <xf numFmtId="43" fontId="0" fillId="42" borderId="0" xfId="44" applyFont="1" applyFill="1"/>
    <xf numFmtId="0" fontId="0" fillId="41" borderId="0" xfId="0" applyFill="1"/>
    <xf numFmtId="43" fontId="0" fillId="41" borderId="0" xfId="44" applyFont="1" applyFill="1"/>
    <xf numFmtId="43" fontId="0" fillId="34" borderId="0" xfId="44" applyFont="1" applyFill="1"/>
    <xf numFmtId="10" fontId="22" fillId="2" borderId="27" xfId="29" applyNumberFormat="1" applyFont="1" applyBorder="1"/>
    <xf numFmtId="0" fontId="22" fillId="2" borderId="10" xfId="29" applyFont="1" applyBorder="1" applyAlignment="1">
      <alignment horizontal="center" vertical="center"/>
    </xf>
    <xf numFmtId="10" fontId="0" fillId="34" borderId="30" xfId="0" applyNumberFormat="1" applyFill="1" applyBorder="1"/>
    <xf numFmtId="9" fontId="0" fillId="34" borderId="30" xfId="43" applyFont="1" applyFill="1" applyBorder="1"/>
    <xf numFmtId="10" fontId="0" fillId="34" borderId="31" xfId="43" applyNumberFormat="1" applyFont="1" applyFill="1" applyBorder="1"/>
    <xf numFmtId="0" fontId="17" fillId="43" borderId="29" xfId="0" applyFont="1" applyFill="1" applyBorder="1"/>
    <xf numFmtId="0" fontId="0" fillId="43" borderId="29" xfId="0" applyFill="1" applyBorder="1" applyAlignment="1">
      <alignment horizontal="center"/>
    </xf>
    <xf numFmtId="0" fontId="17" fillId="43" borderId="29" xfId="0" applyFont="1" applyFill="1" applyBorder="1" applyAlignment="1">
      <alignment horizontal="center"/>
    </xf>
    <xf numFmtId="9" fontId="0" fillId="34" borderId="0" xfId="43" applyFont="1" applyFill="1" applyBorder="1"/>
    <xf numFmtId="9" fontId="0" fillId="0" borderId="12" xfId="43" applyFont="1" applyBorder="1"/>
    <xf numFmtId="0" fontId="17" fillId="44" borderId="29" xfId="0" applyFont="1" applyFill="1" applyBorder="1"/>
    <xf numFmtId="0" fontId="0" fillId="44" borderId="29" xfId="0" applyFill="1" applyBorder="1" applyAlignment="1">
      <alignment horizontal="center"/>
    </xf>
    <xf numFmtId="0" fontId="17" fillId="44" borderId="29" xfId="0" applyFont="1" applyFill="1" applyBorder="1" applyAlignment="1">
      <alignment horizontal="center"/>
    </xf>
    <xf numFmtId="10" fontId="0" fillId="41" borderId="30" xfId="0" applyNumberFormat="1" applyFill="1" applyBorder="1"/>
    <xf numFmtId="9" fontId="0" fillId="41" borderId="30" xfId="43" applyFont="1" applyFill="1" applyBorder="1"/>
    <xf numFmtId="10" fontId="0" fillId="41" borderId="31" xfId="43" applyNumberFormat="1" applyFont="1" applyFill="1" applyBorder="1"/>
    <xf numFmtId="10" fontId="0" fillId="34" borderId="30" xfId="43" applyNumberFormat="1" applyFont="1" applyFill="1" applyBorder="1"/>
    <xf numFmtId="10" fontId="0" fillId="41" borderId="30" xfId="43" applyNumberFormat="1" applyFont="1" applyFill="1" applyBorder="1"/>
    <xf numFmtId="0" fontId="17" fillId="0" borderId="11" xfId="0" quotePrefix="1" applyFont="1" applyBorder="1"/>
    <xf numFmtId="0" fontId="17" fillId="0" borderId="21" xfId="0" applyFont="1" applyBorder="1"/>
    <xf numFmtId="0" fontId="17" fillId="42" borderId="26" xfId="0" applyFont="1" applyFill="1" applyBorder="1"/>
    <xf numFmtId="0" fontId="17" fillId="43" borderId="26" xfId="0" applyFont="1" applyFill="1" applyBorder="1"/>
    <xf numFmtId="0" fontId="17" fillId="44" borderId="26" xfId="0" applyFont="1" applyFill="1" applyBorder="1"/>
    <xf numFmtId="43" fontId="0" fillId="0" borderId="10" xfId="0" applyNumberFormat="1" applyBorder="1"/>
    <xf numFmtId="43" fontId="0" fillId="0" borderId="31" xfId="0" applyNumberFormat="1" applyBorder="1"/>
    <xf numFmtId="43" fontId="0" fillId="0" borderId="11" xfId="0" applyNumberFormat="1" applyBorder="1"/>
    <xf numFmtId="43" fontId="0" fillId="0" borderId="16" xfId="0" applyNumberFormat="1" applyBorder="1"/>
    <xf numFmtId="43" fontId="0" fillId="0" borderId="20" xfId="0" applyNumberFormat="1" applyBorder="1"/>
    <xf numFmtId="43" fontId="0" fillId="0" borderId="21" xfId="44" applyFont="1" applyBorder="1"/>
    <xf numFmtId="43" fontId="17" fillId="0" borderId="15" xfId="0" applyNumberFormat="1" applyFont="1" applyBorder="1"/>
    <xf numFmtId="43" fontId="17" fillId="0" borderId="12" xfId="0" quotePrefix="1" applyNumberFormat="1" applyFont="1" applyBorder="1"/>
    <xf numFmtId="43" fontId="17" fillId="0" borderId="11" xfId="0" quotePrefix="1" applyNumberFormat="1" applyFont="1" applyBorder="1"/>
    <xf numFmtId="43" fontId="17" fillId="0" borderId="21" xfId="0" applyNumberFormat="1" applyFont="1" applyBorder="1"/>
    <xf numFmtId="165" fontId="0" fillId="0" borderId="0" xfId="43" applyNumberFormat="1" applyFont="1" applyBorder="1"/>
    <xf numFmtId="165" fontId="0" fillId="0" borderId="30" xfId="0" applyNumberFormat="1" applyBorder="1"/>
    <xf numFmtId="10" fontId="0" fillId="33" borderId="10" xfId="43" applyNumberFormat="1" applyFont="1" applyFill="1" applyBorder="1"/>
    <xf numFmtId="165" fontId="0" fillId="33" borderId="31" xfId="0" applyNumberFormat="1" applyFill="1" applyBorder="1"/>
    <xf numFmtId="9" fontId="17" fillId="34" borderId="26" xfId="43" applyFont="1" applyFill="1" applyBorder="1"/>
    <xf numFmtId="9" fontId="17" fillId="34" borderId="28" xfId="43" applyFont="1" applyFill="1" applyBorder="1"/>
    <xf numFmtId="9" fontId="0" fillId="33" borderId="15" xfId="43" applyFont="1" applyFill="1" applyBorder="1"/>
    <xf numFmtId="0" fontId="17" fillId="0" borderId="28" xfId="0" applyFont="1" applyBorder="1"/>
    <xf numFmtId="9" fontId="0" fillId="33" borderId="31" xfId="43" applyFont="1" applyFill="1" applyBorder="1"/>
    <xf numFmtId="165" fontId="0" fillId="33" borderId="15" xfId="43" applyNumberFormat="1" applyFont="1" applyFill="1" applyBorder="1"/>
    <xf numFmtId="0" fontId="17" fillId="0" borderId="26" xfId="0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7" xfId="0" applyFont="1" applyBorder="1" applyAlignment="1">
      <alignment horizontal="center"/>
    </xf>
    <xf numFmtId="9" fontId="0" fillId="0" borderId="15" xfId="43" applyFont="1" applyBorder="1"/>
    <xf numFmtId="165" fontId="0" fillId="0" borderId="10" xfId="43" applyNumberFormat="1" applyFont="1" applyBorder="1"/>
    <xf numFmtId="165" fontId="0" fillId="0" borderId="30" xfId="43" applyNumberFormat="1" applyFont="1" applyBorder="1"/>
    <xf numFmtId="0" fontId="0" fillId="0" borderId="33" xfId="0" applyBorder="1"/>
    <xf numFmtId="0" fontId="0" fillId="0" borderId="34" xfId="0" applyBorder="1"/>
    <xf numFmtId="8" fontId="0" fillId="0" borderId="27" xfId="0" applyNumberFormat="1" applyBorder="1"/>
    <xf numFmtId="10" fontId="0" fillId="0" borderId="28" xfId="0" applyNumberFormat="1" applyBorder="1"/>
    <xf numFmtId="165" fontId="0" fillId="0" borderId="12" xfId="43" applyNumberFormat="1" applyFont="1" applyFill="1" applyBorder="1" applyAlignment="1">
      <alignment horizontal="center"/>
    </xf>
    <xf numFmtId="165" fontId="0" fillId="0" borderId="15" xfId="43" applyNumberFormat="1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165" fontId="0" fillId="0" borderId="18" xfId="43" applyNumberFormat="1" applyFont="1" applyFill="1" applyBorder="1" applyAlignment="1">
      <alignment horizontal="center"/>
    </xf>
    <xf numFmtId="165" fontId="0" fillId="0" borderId="19" xfId="43" applyNumberFormat="1" applyFont="1" applyFill="1" applyBorder="1" applyAlignment="1">
      <alignment horizontal="center"/>
    </xf>
    <xf numFmtId="0" fontId="17" fillId="0" borderId="17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7" fillId="0" borderId="19" xfId="0" applyFont="1" applyBorder="1" applyAlignment="1">
      <alignment horizontal="right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165" fontId="0" fillId="0" borderId="12" xfId="43" applyNumberFormat="1" applyFont="1" applyBorder="1" applyAlignment="1">
      <alignment horizontal="center" vertical="center"/>
    </xf>
    <xf numFmtId="165" fontId="0" fillId="0" borderId="0" xfId="43" applyNumberFormat="1" applyFont="1" applyBorder="1" applyAlignment="1">
      <alignment horizontal="center" vertical="center"/>
    </xf>
    <xf numFmtId="165" fontId="0" fillId="0" borderId="30" xfId="43" applyNumberFormat="1" applyFont="1" applyBorder="1" applyAlignment="1">
      <alignment horizontal="center" vertical="center"/>
    </xf>
    <xf numFmtId="165" fontId="0" fillId="0" borderId="15" xfId="43" applyNumberFormat="1" applyFont="1" applyBorder="1" applyAlignment="1">
      <alignment horizontal="center" vertical="center"/>
    </xf>
    <xf numFmtId="165" fontId="0" fillId="0" borderId="10" xfId="43" applyNumberFormat="1" applyFont="1" applyBorder="1" applyAlignment="1">
      <alignment horizontal="center" vertical="center"/>
    </xf>
    <xf numFmtId="165" fontId="0" fillId="0" borderId="31" xfId="43" applyNumberFormat="1" applyFont="1" applyBorder="1" applyAlignment="1">
      <alignment horizontal="center" vertical="center"/>
    </xf>
    <xf numFmtId="0" fontId="20" fillId="0" borderId="38" xfId="0" applyFont="1" applyBorder="1" applyAlignment="1">
      <alignment horizontal="center"/>
    </xf>
    <xf numFmtId="0" fontId="20" fillId="0" borderId="39" xfId="0" applyFont="1" applyBorder="1" applyAlignment="1">
      <alignment horizontal="center"/>
    </xf>
    <xf numFmtId="0" fontId="0" fillId="0" borderId="40" xfId="0" applyBorder="1"/>
    <xf numFmtId="0" fontId="17" fillId="43" borderId="15" xfId="0" applyFont="1" applyFill="1" applyBorder="1"/>
    <xf numFmtId="0" fontId="17" fillId="43" borderId="10" xfId="0" applyFont="1" applyFill="1" applyBorder="1"/>
    <xf numFmtId="0" fontId="17" fillId="43" borderId="31" xfId="0" applyFont="1" applyFill="1" applyBorder="1"/>
    <xf numFmtId="0" fontId="0" fillId="0" borderId="12" xfId="0" applyBorder="1" applyAlignment="1">
      <alignment horizontal="center"/>
    </xf>
    <xf numFmtId="9" fontId="0" fillId="0" borderId="0" xfId="43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5" xfId="0" applyBorder="1" applyAlignment="1">
      <alignment horizontal="center"/>
    </xf>
    <xf numFmtId="9" fontId="0" fillId="0" borderId="10" xfId="43" applyFont="1" applyBorder="1" applyAlignment="1">
      <alignment horizontal="center"/>
    </xf>
    <xf numFmtId="0" fontId="0" fillId="0" borderId="31" xfId="0" applyBorder="1" applyAlignment="1">
      <alignment horizontal="center"/>
    </xf>
    <xf numFmtId="8" fontId="0" fillId="0" borderId="30" xfId="0" applyNumberFormat="1" applyBorder="1" applyAlignment="1">
      <alignment horizontal="center"/>
    </xf>
    <xf numFmtId="9" fontId="19" fillId="0" borderId="0" xfId="0" applyNumberFormat="1" applyFont="1" applyAlignment="1">
      <alignment horizontal="center"/>
    </xf>
    <xf numFmtId="9" fontId="19" fillId="0" borderId="10" xfId="0" applyNumberFormat="1" applyFont="1" applyBorder="1" applyAlignment="1">
      <alignment horizontal="center"/>
    </xf>
    <xf numFmtId="8" fontId="0" fillId="0" borderId="31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43" fontId="0" fillId="0" borderId="0" xfId="44" applyFont="1" applyBorder="1" applyAlignment="1">
      <alignment horizontal="right" vertical="center"/>
    </xf>
    <xf numFmtId="43" fontId="0" fillId="0" borderId="10" xfId="44" applyFont="1" applyBorder="1" applyAlignment="1">
      <alignment horizontal="right" vertical="center"/>
    </xf>
    <xf numFmtId="2" fontId="0" fillId="0" borderId="0" xfId="0" applyNumberFormat="1" applyAlignment="1">
      <alignment horizontal="right"/>
    </xf>
    <xf numFmtId="10" fontId="8" fillId="3" borderId="27" xfId="25" applyNumberFormat="1" applyBorder="1"/>
    <xf numFmtId="0" fontId="8" fillId="3" borderId="10" xfId="25" applyBorder="1" applyAlignment="1">
      <alignment horizontal="center" vertical="center"/>
    </xf>
    <xf numFmtId="0" fontId="17" fillId="42" borderId="26" xfId="0" applyFont="1" applyFill="1" applyBorder="1" applyAlignment="1">
      <alignment horizontal="center"/>
    </xf>
    <xf numFmtId="0" fontId="17" fillId="42" borderId="27" xfId="0" applyFont="1" applyFill="1" applyBorder="1" applyAlignment="1">
      <alignment horizontal="center"/>
    </xf>
    <xf numFmtId="0" fontId="17" fillId="42" borderId="28" xfId="0" applyFont="1" applyFill="1" applyBorder="1" applyAlignment="1">
      <alignment horizontal="center"/>
    </xf>
    <xf numFmtId="0" fontId="17" fillId="42" borderId="11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center"/>
    </xf>
    <xf numFmtId="0" fontId="17" fillId="42" borderId="20" xfId="0" applyFont="1" applyFill="1" applyBorder="1" applyAlignment="1">
      <alignment horizontal="center"/>
    </xf>
    <xf numFmtId="0" fontId="17" fillId="42" borderId="35" xfId="0" applyFont="1" applyFill="1" applyBorder="1" applyAlignment="1">
      <alignment horizontal="center"/>
    </xf>
    <xf numFmtId="0" fontId="17" fillId="42" borderId="36" xfId="0" applyFont="1" applyFill="1" applyBorder="1" applyAlignment="1">
      <alignment horizontal="center"/>
    </xf>
    <xf numFmtId="0" fontId="17" fillId="42" borderId="37" xfId="0" applyFont="1" applyFill="1" applyBorder="1" applyAlignment="1">
      <alignment horizontal="center"/>
    </xf>
    <xf numFmtId="0" fontId="0" fillId="42" borderId="11" xfId="0" applyFill="1" applyBorder="1" applyAlignment="1">
      <alignment horizontal="center"/>
    </xf>
    <xf numFmtId="0" fontId="0" fillId="42" borderId="16" xfId="0" applyFill="1" applyBorder="1" applyAlignment="1">
      <alignment horizontal="center"/>
    </xf>
    <xf numFmtId="0" fontId="0" fillId="42" borderId="20" xfId="0" applyFill="1" applyBorder="1" applyAlignment="1">
      <alignment horizontal="center"/>
    </xf>
    <xf numFmtId="0" fontId="0" fillId="43" borderId="11" xfId="0" applyFill="1" applyBorder="1" applyAlignment="1">
      <alignment horizontal="center"/>
    </xf>
    <xf numFmtId="0" fontId="0" fillId="43" borderId="16" xfId="0" applyFill="1" applyBorder="1" applyAlignment="1">
      <alignment horizontal="center"/>
    </xf>
    <xf numFmtId="0" fontId="0" fillId="43" borderId="20" xfId="0" applyFill="1" applyBorder="1" applyAlignment="1">
      <alignment horizontal="center"/>
    </xf>
    <xf numFmtId="0" fontId="0" fillId="44" borderId="11" xfId="0" applyFill="1" applyBorder="1" applyAlignment="1">
      <alignment horizontal="center"/>
    </xf>
    <xf numFmtId="0" fontId="0" fillId="44" borderId="16" xfId="0" applyFill="1" applyBorder="1" applyAlignment="1">
      <alignment horizontal="center"/>
    </xf>
    <xf numFmtId="0" fontId="0" fillId="44" borderId="20" xfId="0" applyFill="1" applyBorder="1" applyAlignment="1">
      <alignment horizontal="center"/>
    </xf>
    <xf numFmtId="0" fontId="17" fillId="44" borderId="11" xfId="0" applyFont="1" applyFill="1" applyBorder="1" applyAlignment="1">
      <alignment horizontal="center"/>
    </xf>
    <xf numFmtId="0" fontId="17" fillId="44" borderId="16" xfId="0" applyFont="1" applyFill="1" applyBorder="1" applyAlignment="1">
      <alignment horizontal="center"/>
    </xf>
    <xf numFmtId="0" fontId="17" fillId="44" borderId="20" xfId="0" applyFont="1" applyFill="1" applyBorder="1" applyAlignment="1">
      <alignment horizontal="center"/>
    </xf>
    <xf numFmtId="0" fontId="17" fillId="43" borderId="11" xfId="0" applyFont="1" applyFill="1" applyBorder="1" applyAlignment="1">
      <alignment horizontal="center"/>
    </xf>
    <xf numFmtId="0" fontId="17" fillId="43" borderId="16" xfId="0" applyFont="1" applyFill="1" applyBorder="1" applyAlignment="1">
      <alignment horizontal="center"/>
    </xf>
    <xf numFmtId="0" fontId="17" fillId="43" borderId="20" xfId="0" applyFont="1" applyFill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Comma" xfId="44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3" builtinId="5"/>
    <cellStyle name="Title" xfId="39" builtinId="15" customBuiltin="1"/>
    <cellStyle name="Total" xfId="40" builtinId="25" customBuiltin="1"/>
    <cellStyle name="Warning Text" xfId="41" builtinId="11" customBuiltin="1"/>
  </cellStyles>
  <dxfs count="6"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EDAA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Efficient</a:t>
            </a:r>
            <a:r>
              <a:rPr lang="en-US" baseline="0"/>
              <a:t> Frontier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96761415991533"/>
          <c:y val="0.13290514698841166"/>
          <c:w val="0.77452126242016606"/>
          <c:h val="0.6657537989153360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'Portfolio Management'!$L$4:$L$24</c:f>
              <c:numCache>
                <c:formatCode>0.00%</c:formatCode>
                <c:ptCount val="21"/>
                <c:pt idx="0">
                  <c:v>7.9262927339589201E-2</c:v>
                </c:pt>
                <c:pt idx="1">
                  <c:v>7.6311416999829296E-2</c:v>
                </c:pt>
                <c:pt idx="2">
                  <c:v>7.3636061412561876E-2</c:v>
                </c:pt>
                <c:pt idx="3">
                  <c:v>7.1267967404292087E-2</c:v>
                </c:pt>
                <c:pt idx="4">
                  <c:v>6.9238668945003592E-2</c:v>
                </c:pt>
                <c:pt idx="5">
                  <c:v>6.7578693671632009E-2</c:v>
                </c:pt>
                <c:pt idx="6">
                  <c:v>6.631578138878147E-2</c:v>
                </c:pt>
                <c:pt idx="7">
                  <c:v>6.5472913069428526E-2</c:v>
                </c:pt>
                <c:pt idx="8">
                  <c:v>6.5066414471224257E-2</c:v>
                </c:pt>
                <c:pt idx="9">
                  <c:v>6.5104459910494974E-2</c:v>
                </c:pt>
                <c:pt idx="10">
                  <c:v>6.5586275775388114E-2</c:v>
                </c:pt>
                <c:pt idx="11">
                  <c:v>6.6502217268939109E-2</c:v>
                </c:pt>
                <c:pt idx="12">
                  <c:v>6.7834701260026248E-2</c:v>
                </c:pt>
                <c:pt idx="13">
                  <c:v>6.955979406338654E-2</c:v>
                </c:pt>
                <c:pt idx="14">
                  <c:v>7.1649142821086087E-2</c:v>
                </c:pt>
                <c:pt idx="15">
                  <c:v>7.407193021383976E-2</c:v>
                </c:pt>
                <c:pt idx="16">
                  <c:v>7.6796604651269668E-2</c:v>
                </c:pt>
                <c:pt idx="17">
                  <c:v>7.9792246415768889E-2</c:v>
                </c:pt>
                <c:pt idx="18">
                  <c:v>8.3029531806087312E-2</c:v>
                </c:pt>
                <c:pt idx="19">
                  <c:v>8.6481328490913306E-2</c:v>
                </c:pt>
                <c:pt idx="20">
                  <c:v>9.012299187732481E-2</c:v>
                </c:pt>
              </c:numCache>
            </c:numRef>
          </c:xVal>
          <c:yVal>
            <c:numRef>
              <c:f>'Portfolio Management'!$K$4:$K$24</c:f>
              <c:numCache>
                <c:formatCode>0.000%</c:formatCode>
                <c:ptCount val="21"/>
                <c:pt idx="0">
                  <c:v>5.6672990411390078E-3</c:v>
                </c:pt>
                <c:pt idx="1">
                  <c:v>5.6329105460538476E-3</c:v>
                </c:pt>
                <c:pt idx="2">
                  <c:v>5.5985220509686901E-3</c:v>
                </c:pt>
                <c:pt idx="3">
                  <c:v>5.5641335558835308E-3</c:v>
                </c:pt>
                <c:pt idx="4">
                  <c:v>5.5297450607983715E-3</c:v>
                </c:pt>
                <c:pt idx="5">
                  <c:v>5.4953565657132122E-3</c:v>
                </c:pt>
                <c:pt idx="6">
                  <c:v>5.460968070628053E-3</c:v>
                </c:pt>
                <c:pt idx="7">
                  <c:v>5.4265795755428937E-3</c:v>
                </c:pt>
                <c:pt idx="8">
                  <c:v>5.3921910804577353E-3</c:v>
                </c:pt>
                <c:pt idx="9">
                  <c:v>5.357802585372576E-3</c:v>
                </c:pt>
                <c:pt idx="10">
                  <c:v>5.3234140902874167E-3</c:v>
                </c:pt>
                <c:pt idx="11">
                  <c:v>5.2890255952022583E-3</c:v>
                </c:pt>
                <c:pt idx="12">
                  <c:v>5.2546371001170929E-3</c:v>
                </c:pt>
                <c:pt idx="13">
                  <c:v>5.2202486050319337E-3</c:v>
                </c:pt>
                <c:pt idx="14">
                  <c:v>5.1858601099467744E-3</c:v>
                </c:pt>
                <c:pt idx="15">
                  <c:v>5.151471614861616E-3</c:v>
                </c:pt>
                <c:pt idx="16">
                  <c:v>5.1170831197764567E-3</c:v>
                </c:pt>
                <c:pt idx="17">
                  <c:v>5.0826946246912965E-3</c:v>
                </c:pt>
                <c:pt idx="18">
                  <c:v>5.0483061296061381E-3</c:v>
                </c:pt>
                <c:pt idx="19">
                  <c:v>5.0139176345209788E-3</c:v>
                </c:pt>
                <c:pt idx="20">
                  <c:v>4.9795291394358256E-3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D3-42CF-B8A9-8190316F564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'Portfolio Management'!$Q$4:$Q$6</c:f>
              <c:numCache>
                <c:formatCode>0.00%</c:formatCode>
                <c:ptCount val="3"/>
                <c:pt idx="0">
                  <c:v>0</c:v>
                </c:pt>
                <c:pt idx="1">
                  <c:v>6.5472913069428526E-2</c:v>
                </c:pt>
                <c:pt idx="2">
                  <c:v>9.8209369604142782E-2</c:v>
                </c:pt>
              </c:numCache>
            </c:numRef>
          </c:xVal>
          <c:yVal>
            <c:numRef>
              <c:f>'Portfolio Management'!$P$4:$P$6</c:f>
              <c:numCache>
                <c:formatCode>0.000%</c:formatCode>
                <c:ptCount val="3"/>
                <c:pt idx="0">
                  <c:v>2.3233373655913961E-3</c:v>
                </c:pt>
                <c:pt idx="1">
                  <c:v>5.4265795755428937E-3</c:v>
                </c:pt>
                <c:pt idx="2">
                  <c:v>6.9782006805186435E-3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807-4E30-AC61-26F6B2FC4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4960"/>
        <c:axId val="2133464480"/>
      </c:scatterChart>
      <c:valAx>
        <c:axId val="19534960"/>
        <c:scaling>
          <c:orientation val="minMax"/>
          <c:min val="0.0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</a:t>
                </a:r>
                <a:r>
                  <a:rPr lang="en-US" baseline="0"/>
                  <a:t>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464480"/>
        <c:crosses val="autoZero"/>
        <c:crossBetween val="midCat"/>
      </c:valAx>
      <c:valAx>
        <c:axId val="2133464480"/>
        <c:scaling>
          <c:orientation val="minMax"/>
          <c:min val="4.4999999999999997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4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369382</xdr:colOff>
      <xdr:row>6</xdr:row>
      <xdr:rowOff>137413</xdr:rowOff>
    </xdr:from>
    <xdr:to>
      <xdr:col>21</xdr:col>
      <xdr:colOff>380251</xdr:colOff>
      <xdr:row>28</xdr:row>
      <xdr:rowOff>150346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17D357-3153-3C70-37DB-681B1B0B6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C4DA-B13E-2F49-A8B4-92915FE7DD22}">
  <dimension ref="B2:Q62"/>
  <sheetViews>
    <sheetView showGridLines="0" zoomScale="85" workbookViewId="0">
      <selection activeCell="L32" sqref="L32"/>
    </sheetView>
  </sheetViews>
  <sheetFormatPr baseColWidth="10" defaultColWidth="11.5" defaultRowHeight="15" x14ac:dyDescent="0.2"/>
  <cols>
    <col min="1" max="1" width="8" customWidth="1"/>
    <col min="3" max="3" width="12.33203125" customWidth="1"/>
    <col min="4" max="4" width="5" customWidth="1"/>
    <col min="5" max="5" width="32" customWidth="1"/>
    <col min="6" max="6" width="10.6640625" bestFit="1" customWidth="1"/>
    <col min="7" max="7" width="11.5" customWidth="1"/>
    <col min="8" max="8" width="4.1640625" customWidth="1"/>
    <col min="9" max="9" width="6.33203125" customWidth="1"/>
    <col min="10" max="10" width="6.1640625" customWidth="1"/>
    <col min="11" max="11" width="10.1640625" bestFit="1" customWidth="1"/>
    <col min="14" max="14" width="6.1640625" customWidth="1"/>
    <col min="17" max="17" width="14.33203125" customWidth="1"/>
  </cols>
  <sheetData>
    <row r="2" spans="2:17" x14ac:dyDescent="0.2">
      <c r="B2" s="240" t="s">
        <v>486</v>
      </c>
      <c r="C2" s="242"/>
      <c r="E2" s="240" t="s">
        <v>485</v>
      </c>
      <c r="F2" s="244"/>
      <c r="G2" s="245"/>
      <c r="I2" s="240" t="s">
        <v>483</v>
      </c>
      <c r="J2" s="241"/>
      <c r="K2" s="241"/>
      <c r="L2" s="241"/>
      <c r="M2" s="242"/>
      <c r="O2" s="243" t="s">
        <v>484</v>
      </c>
      <c r="P2" s="244"/>
      <c r="Q2" s="245"/>
    </row>
    <row r="3" spans="2:17" x14ac:dyDescent="0.2">
      <c r="B3" s="201" t="s">
        <v>487</v>
      </c>
      <c r="C3" s="203" t="s">
        <v>2</v>
      </c>
      <c r="E3" s="112"/>
      <c r="F3" s="107" t="s">
        <v>0</v>
      </c>
      <c r="G3" s="186" t="s">
        <v>2</v>
      </c>
      <c r="I3" s="189" t="s">
        <v>0</v>
      </c>
      <c r="J3" s="190" t="s">
        <v>2</v>
      </c>
      <c r="K3" s="189" t="s">
        <v>96</v>
      </c>
      <c r="L3" s="191" t="s">
        <v>97</v>
      </c>
      <c r="M3" s="190" t="s">
        <v>95</v>
      </c>
      <c r="O3" s="189" t="s">
        <v>16</v>
      </c>
      <c r="P3" s="191" t="s">
        <v>17</v>
      </c>
      <c r="Q3" s="190" t="s">
        <v>98</v>
      </c>
    </row>
    <row r="4" spans="2:17" x14ac:dyDescent="0.2">
      <c r="B4" s="199">
        <v>6.6588043182436663E-2</v>
      </c>
      <c r="C4" s="204">
        <v>4.8221111437812623E-2</v>
      </c>
      <c r="E4" s="206" t="s">
        <v>19</v>
      </c>
      <c r="F4" s="10">
        <f>AVERAGE(B4:B62)</f>
        <v>5.6672990411390078E-3</v>
      </c>
      <c r="G4" s="180">
        <f>AVERAGE(C4:C62)</f>
        <v>4.9795291394358256E-3</v>
      </c>
      <c r="I4" s="155">
        <v>1</v>
      </c>
      <c r="J4" s="120">
        <v>0</v>
      </c>
      <c r="K4" s="52">
        <f t="shared" ref="K4:K24" si="0">(I4*$F$4)+(J4*$G$4)</f>
        <v>5.6672990411390078E-3</v>
      </c>
      <c r="L4" s="101">
        <f t="shared" ref="L4:L24" si="1">((I4^2*$F$5^2)+(J4^2*$G$5^2)+(2*I4*J4*$F$6))^(1/2)</f>
        <v>7.9262927339589201E-2</v>
      </c>
      <c r="M4" s="180">
        <f t="shared" ref="M4:M24" si="2">(K4-$F$7)/L4</f>
        <v>4.21882182223847E-2</v>
      </c>
      <c r="O4" s="155">
        <v>0</v>
      </c>
      <c r="P4" s="179">
        <f>(O4*$K$11)+((1-O4)*$F$7)</f>
        <v>2.3233373655913961E-3</v>
      </c>
      <c r="Q4" s="119">
        <f>(O4*$L$11)</f>
        <v>0</v>
      </c>
    </row>
    <row r="5" spans="2:17" x14ac:dyDescent="0.2">
      <c r="B5" s="199">
        <v>4.68785434282568E-2</v>
      </c>
      <c r="C5" s="204">
        <v>-4.232313870868102E-2</v>
      </c>
      <c r="E5" s="207" t="s">
        <v>98</v>
      </c>
      <c r="F5" s="179">
        <f>_xlfn.STDEV.P(B4:B62)</f>
        <v>7.9262927339589201E-2</v>
      </c>
      <c r="G5" s="194">
        <f>_xlfn.STDEV.P(C4:C62)</f>
        <v>9.012299187732481E-2</v>
      </c>
      <c r="I5" s="155">
        <v>0.95</v>
      </c>
      <c r="J5" s="120">
        <v>0.05</v>
      </c>
      <c r="K5" s="52">
        <f t="shared" si="0"/>
        <v>5.6329105460538476E-3</v>
      </c>
      <c r="L5" s="101">
        <f t="shared" si="1"/>
        <v>7.6311416999829296E-2</v>
      </c>
      <c r="M5" s="180">
        <f t="shared" si="2"/>
        <v>4.3369305807410899E-2</v>
      </c>
      <c r="O5" s="155">
        <v>1</v>
      </c>
      <c r="P5" s="179">
        <f>(O5*$K$11)+((1-O5)*$F$7)</f>
        <v>5.4265795755428937E-3</v>
      </c>
      <c r="Q5" s="119">
        <f>(O5*$L$11)</f>
        <v>6.5472913069428526E-2</v>
      </c>
    </row>
    <row r="6" spans="2:17" x14ac:dyDescent="0.2">
      <c r="B6" s="199">
        <v>5.615227736233868E-2</v>
      </c>
      <c r="C6" s="204">
        <v>8.1950207468879682E-2</v>
      </c>
      <c r="E6" s="207" t="s">
        <v>20</v>
      </c>
      <c r="F6" s="179">
        <f>_xlfn.COVARIANCE.P(B4:B62,C4:C62)</f>
        <v>1.4007364824898459E-3</v>
      </c>
      <c r="G6" s="100"/>
      <c r="I6" s="155">
        <v>0.9</v>
      </c>
      <c r="J6" s="120">
        <v>0.1</v>
      </c>
      <c r="K6" s="52">
        <f t="shared" si="0"/>
        <v>5.5985220509686901E-3</v>
      </c>
      <c r="L6" s="101">
        <f t="shared" si="1"/>
        <v>7.3636061412561876E-2</v>
      </c>
      <c r="M6" s="180">
        <f t="shared" si="2"/>
        <v>4.4477999264889621E-2</v>
      </c>
      <c r="O6" s="192">
        <v>1.5</v>
      </c>
      <c r="P6" s="193">
        <f>(O6*$K$11)+((1-O6)*$F$7)</f>
        <v>6.9782006805186435E-3</v>
      </c>
      <c r="Q6" s="139">
        <f>(O6*$L$11)</f>
        <v>9.8209369604142782E-2</v>
      </c>
    </row>
    <row r="7" spans="2:17" x14ac:dyDescent="0.2">
      <c r="B7" s="199">
        <v>-0.2165442235666957</v>
      </c>
      <c r="C7" s="204">
        <v>-2.598870056497174E-2</v>
      </c>
      <c r="E7" s="208" t="s">
        <v>21</v>
      </c>
      <c r="F7" s="83">
        <f>'10YR Treasury'!E69</f>
        <v>2.3233373655913961E-3</v>
      </c>
      <c r="G7" s="103"/>
      <c r="I7" s="155">
        <v>0.85</v>
      </c>
      <c r="J7" s="120">
        <v>0.15</v>
      </c>
      <c r="K7" s="52">
        <f t="shared" si="0"/>
        <v>5.5641335558835308E-3</v>
      </c>
      <c r="L7" s="101">
        <f t="shared" si="1"/>
        <v>7.1267967404292087E-2</v>
      </c>
      <c r="M7" s="180">
        <f t="shared" si="2"/>
        <v>4.5473391599729546E-2</v>
      </c>
      <c r="O7" s="61"/>
    </row>
    <row r="8" spans="2:17" x14ac:dyDescent="0.2">
      <c r="B8" s="199">
        <v>6.8766466356827857E-2</v>
      </c>
      <c r="C8" s="204">
        <v>9.5185651353052292E-2</v>
      </c>
      <c r="I8" s="155">
        <v>0.8</v>
      </c>
      <c r="J8" s="120">
        <v>0.2</v>
      </c>
      <c r="K8" s="52">
        <f t="shared" si="0"/>
        <v>5.5297450607983715E-3</v>
      </c>
      <c r="L8" s="101">
        <f t="shared" si="1"/>
        <v>6.9238668945003592E-2</v>
      </c>
      <c r="M8" s="180">
        <f t="shared" si="2"/>
        <v>4.6309493583041456E-2</v>
      </c>
    </row>
    <row r="9" spans="2:17" x14ac:dyDescent="0.2">
      <c r="B9" s="199">
        <v>-0.1056964842011571</v>
      </c>
      <c r="C9" s="204">
        <v>-0.13215093027299604</v>
      </c>
      <c r="I9" s="155">
        <v>0.75</v>
      </c>
      <c r="J9" s="120">
        <v>0.25</v>
      </c>
      <c r="K9" s="52">
        <f t="shared" si="0"/>
        <v>5.4953565657132122E-3</v>
      </c>
      <c r="L9" s="101">
        <f t="shared" si="1"/>
        <v>6.7578693671632009E-2</v>
      </c>
      <c r="M9" s="180">
        <f t="shared" si="2"/>
        <v>4.6938155027600917E-2</v>
      </c>
    </row>
    <row r="10" spans="2:17" x14ac:dyDescent="0.2">
      <c r="B10" s="199">
        <v>-3.9732053014403572E-2</v>
      </c>
      <c r="C10" s="204">
        <v>8.8158500998310477E-2</v>
      </c>
      <c r="E10" s="4"/>
      <c r="I10" s="155">
        <v>0.7</v>
      </c>
      <c r="J10" s="120">
        <v>0.3</v>
      </c>
      <c r="K10" s="52">
        <f t="shared" si="0"/>
        <v>5.460968070628053E-3</v>
      </c>
      <c r="L10" s="101">
        <f t="shared" si="1"/>
        <v>6.631578138878147E-2</v>
      </c>
      <c r="M10" s="180">
        <f t="shared" si="2"/>
        <v>4.7313484653706342E-2</v>
      </c>
    </row>
    <row r="11" spans="2:17" ht="16" thickBot="1" x14ac:dyDescent="0.25">
      <c r="B11" s="199">
        <v>3.5752799668187341E-2</v>
      </c>
      <c r="C11" s="204">
        <v>6.3331648980966895E-2</v>
      </c>
      <c r="E11" s="243" t="s">
        <v>428</v>
      </c>
      <c r="F11" s="244"/>
      <c r="G11" s="245"/>
      <c r="I11" s="183">
        <v>0.65</v>
      </c>
      <c r="J11" s="184">
        <v>0.35</v>
      </c>
      <c r="K11" s="90">
        <f t="shared" si="0"/>
        <v>5.4265795755428937E-3</v>
      </c>
      <c r="L11" s="88">
        <f t="shared" si="1"/>
        <v>6.5472913069428526E-2</v>
      </c>
      <c r="M11" s="89">
        <f t="shared" si="2"/>
        <v>4.739734440501784E-2</v>
      </c>
    </row>
    <row r="12" spans="2:17" x14ac:dyDescent="0.2">
      <c r="B12" s="199">
        <v>4.9151181463638567E-2</v>
      </c>
      <c r="C12" s="204">
        <v>3.3986693040820005E-2</v>
      </c>
      <c r="E12" s="195">
        <v>3</v>
      </c>
      <c r="F12" s="93">
        <f>'Portfolio Management'!K11</f>
        <v>5.4265795755428937E-3</v>
      </c>
      <c r="G12" s="100"/>
      <c r="I12" s="155">
        <v>0.6</v>
      </c>
      <c r="J12" s="120">
        <v>0.4</v>
      </c>
      <c r="K12" s="52">
        <f t="shared" si="0"/>
        <v>5.3921910804577353E-3</v>
      </c>
      <c r="L12" s="101">
        <f t="shared" si="1"/>
        <v>6.5066414471224257E-2</v>
      </c>
      <c r="M12" s="180">
        <f t="shared" si="2"/>
        <v>4.716494277125944E-2</v>
      </c>
    </row>
    <row r="13" spans="2:17" x14ac:dyDescent="0.2">
      <c r="B13" s="199">
        <v>-3.8301465709632637E-2</v>
      </c>
      <c r="C13" s="204">
        <v>-1.4333581533879433E-2</v>
      </c>
      <c r="E13" s="69" t="s">
        <v>488</v>
      </c>
      <c r="F13" s="94">
        <f>'Portfolio Management'!L11</f>
        <v>6.5472913069428526E-2</v>
      </c>
      <c r="G13" s="100"/>
      <c r="I13" s="155">
        <v>0.55000000000000004</v>
      </c>
      <c r="J13" s="120">
        <v>0.45</v>
      </c>
      <c r="K13" s="52">
        <f t="shared" si="0"/>
        <v>5.357802585372576E-3</v>
      </c>
      <c r="L13" s="101">
        <f t="shared" si="1"/>
        <v>6.5104459910494974E-2</v>
      </c>
      <c r="M13" s="180">
        <f t="shared" si="2"/>
        <v>4.6609175837614432E-2</v>
      </c>
    </row>
    <row r="14" spans="2:17" x14ac:dyDescent="0.2">
      <c r="B14" s="199">
        <v>-3.7469501568490868E-2</v>
      </c>
      <c r="C14" s="204">
        <v>5.4138374013580522E-2</v>
      </c>
      <c r="E14" s="69" t="s">
        <v>331</v>
      </c>
      <c r="F14" s="94">
        <f>'Portfolio Management'!F7</f>
        <v>2.3233373655913961E-3</v>
      </c>
      <c r="G14" s="100"/>
      <c r="I14" s="155">
        <v>0.5</v>
      </c>
      <c r="J14" s="120">
        <v>0.5</v>
      </c>
      <c r="K14" s="52">
        <f t="shared" si="0"/>
        <v>5.3234140902874167E-3</v>
      </c>
      <c r="L14" s="101">
        <f t="shared" si="1"/>
        <v>6.5586275775388114E-2</v>
      </c>
      <c r="M14" s="180">
        <f t="shared" si="2"/>
        <v>4.5742446712027346E-2</v>
      </c>
    </row>
    <row r="15" spans="2:17" x14ac:dyDescent="0.2">
      <c r="B15" s="199">
        <v>-2.0745842432386943E-2</v>
      </c>
      <c r="C15" s="204">
        <v>-2.9297632906480502E-2</v>
      </c>
      <c r="E15" s="69" t="s">
        <v>332</v>
      </c>
      <c r="F15" s="85">
        <v>3</v>
      </c>
      <c r="G15" s="100"/>
      <c r="I15" s="155">
        <v>0.45</v>
      </c>
      <c r="J15" s="120">
        <v>0.55000000000000004</v>
      </c>
      <c r="K15" s="52">
        <f t="shared" si="0"/>
        <v>5.2890255952022583E-3</v>
      </c>
      <c r="L15" s="101">
        <f t="shared" si="1"/>
        <v>6.6502217268939109E-2</v>
      </c>
      <c r="M15" s="180">
        <f t="shared" si="2"/>
        <v>4.4595328568030057E-2</v>
      </c>
    </row>
    <row r="16" spans="2:17" ht="16" thickBot="1" x14ac:dyDescent="0.25">
      <c r="B16" s="199">
        <v>7.9184837762966476E-2</v>
      </c>
      <c r="C16" s="204">
        <v>0.1087653157398681</v>
      </c>
      <c r="E16" s="196" t="s">
        <v>340</v>
      </c>
      <c r="F16" s="86">
        <v>10000</v>
      </c>
      <c r="G16" s="100"/>
      <c r="I16" s="155">
        <v>0.39999999999999902</v>
      </c>
      <c r="J16" s="120">
        <v>0.6</v>
      </c>
      <c r="K16" s="52">
        <f t="shared" si="0"/>
        <v>5.2546371001170929E-3</v>
      </c>
      <c r="L16" s="101">
        <f t="shared" si="1"/>
        <v>6.7834701260026248E-2</v>
      </c>
      <c r="M16" s="180">
        <f t="shared" si="2"/>
        <v>4.321239247873062E-2</v>
      </c>
    </row>
    <row r="17" spans="2:13" x14ac:dyDescent="0.2">
      <c r="B17" s="199">
        <v>0.10318122244727761</v>
      </c>
      <c r="C17" s="204">
        <v>0.13134517766497464</v>
      </c>
      <c r="E17" s="69"/>
      <c r="G17" s="100"/>
      <c r="I17" s="155">
        <v>0.34999999999999898</v>
      </c>
      <c r="J17" s="120">
        <v>0.65</v>
      </c>
      <c r="K17" s="52">
        <f t="shared" si="0"/>
        <v>5.2202486050319337E-3</v>
      </c>
      <c r="L17" s="101">
        <f t="shared" si="1"/>
        <v>6.955979406338654E-2</v>
      </c>
      <c r="M17" s="180">
        <f t="shared" si="2"/>
        <v>4.1646345830189203E-2</v>
      </c>
    </row>
    <row r="18" spans="2:13" x14ac:dyDescent="0.2">
      <c r="B18" s="199">
        <v>1.129267968646124E-3</v>
      </c>
      <c r="C18" s="204">
        <v>-6.2089116143170128E-2</v>
      </c>
      <c r="E18" s="69"/>
      <c r="G18" s="100"/>
      <c r="I18" s="155">
        <v>0.29999999999999899</v>
      </c>
      <c r="J18" s="120">
        <v>0.7</v>
      </c>
      <c r="K18" s="52">
        <f t="shared" si="0"/>
        <v>5.1858601099467744E-3</v>
      </c>
      <c r="L18" s="101">
        <f t="shared" si="1"/>
        <v>7.1649142821086087E-2</v>
      </c>
      <c r="M18" s="180">
        <f t="shared" si="2"/>
        <v>3.9951946829333847E-2</v>
      </c>
    </row>
    <row r="19" spans="2:13" x14ac:dyDescent="0.2">
      <c r="B19" s="199">
        <v>0.1258229700073154</v>
      </c>
      <c r="C19" s="204">
        <v>5.4103622191655196E-2</v>
      </c>
      <c r="E19" s="69"/>
      <c r="G19" s="100"/>
      <c r="I19" s="155">
        <v>0.249999999999999</v>
      </c>
      <c r="J19" s="120">
        <v>0.75</v>
      </c>
      <c r="K19" s="52">
        <f t="shared" si="0"/>
        <v>5.151471614861616E-3</v>
      </c>
      <c r="L19" s="101">
        <f t="shared" si="1"/>
        <v>7.407193021383976E-2</v>
      </c>
      <c r="M19" s="180">
        <f t="shared" si="2"/>
        <v>3.8180917401580083E-2</v>
      </c>
    </row>
    <row r="20" spans="2:13" x14ac:dyDescent="0.2">
      <c r="B20" s="199">
        <v>-0.17569418029669076</v>
      </c>
      <c r="C20" s="204">
        <v>4.9200193892389756E-2</v>
      </c>
      <c r="E20" s="45" t="s">
        <v>333</v>
      </c>
      <c r="F20" s="83">
        <f>(F12-F14)/(F15*(F13)^2)</f>
        <v>0.241307650156317</v>
      </c>
      <c r="G20" s="100"/>
      <c r="I20" s="155">
        <v>0.19999999999999901</v>
      </c>
      <c r="J20" s="120">
        <v>0.8</v>
      </c>
      <c r="K20" s="52">
        <f t="shared" si="0"/>
        <v>5.1170831197764567E-3</v>
      </c>
      <c r="L20" s="101">
        <f t="shared" si="1"/>
        <v>7.6796604651269668E-2</v>
      </c>
      <c r="M20" s="180">
        <f t="shared" si="2"/>
        <v>3.6378506144527471E-2</v>
      </c>
    </row>
    <row r="21" spans="2:13" x14ac:dyDescent="0.2">
      <c r="B21" s="199">
        <v>7.0464913132097365E-2</v>
      </c>
      <c r="C21" s="204">
        <v>-0.12388478205455027</v>
      </c>
      <c r="E21" s="69" t="s">
        <v>334</v>
      </c>
      <c r="F21" s="63">
        <f>F20</f>
        <v>0.241307650156317</v>
      </c>
      <c r="G21" s="100"/>
      <c r="I21" s="155">
        <v>0.149999999999999</v>
      </c>
      <c r="J21" s="120">
        <v>0.85</v>
      </c>
      <c r="K21" s="52">
        <f t="shared" si="0"/>
        <v>5.0826946246912965E-3</v>
      </c>
      <c r="L21" s="101">
        <f t="shared" si="1"/>
        <v>7.9792246415768889E-2</v>
      </c>
      <c r="M21" s="180">
        <f t="shared" si="2"/>
        <v>3.4581771826824821E-2</v>
      </c>
    </row>
    <row r="22" spans="2:13" x14ac:dyDescent="0.2">
      <c r="B22" s="199">
        <v>3.8042532456231966E-2</v>
      </c>
      <c r="C22" s="204">
        <v>-2.1320027217055969E-2</v>
      </c>
      <c r="E22" s="69" t="s">
        <v>335</v>
      </c>
      <c r="F22" s="63">
        <f>1-F21</f>
        <v>0.75869234984368306</v>
      </c>
      <c r="G22" s="100"/>
      <c r="I22" s="155">
        <v>9.9999999999999006E-2</v>
      </c>
      <c r="J22" s="120">
        <v>0.9</v>
      </c>
      <c r="K22" s="52">
        <f t="shared" si="0"/>
        <v>5.0483061296061381E-3</v>
      </c>
      <c r="L22" s="101">
        <f t="shared" si="1"/>
        <v>8.3029531806087312E-2</v>
      </c>
      <c r="M22" s="180">
        <f t="shared" si="2"/>
        <v>3.2819271706587667E-2</v>
      </c>
    </row>
    <row r="23" spans="2:13" x14ac:dyDescent="0.2">
      <c r="B23" s="199">
        <v>-6.7732831608654856E-2</v>
      </c>
      <c r="C23" s="204">
        <v>1.1547856984232803E-2</v>
      </c>
      <c r="E23" s="69"/>
      <c r="G23" s="100"/>
      <c r="I23" s="155">
        <v>4.9999999999998997E-2</v>
      </c>
      <c r="J23" s="120">
        <v>0.95</v>
      </c>
      <c r="K23" s="52">
        <f t="shared" si="0"/>
        <v>5.0139176345209788E-3</v>
      </c>
      <c r="L23" s="101">
        <f t="shared" si="1"/>
        <v>8.6481328490913306E-2</v>
      </c>
      <c r="M23" s="180">
        <f t="shared" si="2"/>
        <v>3.1111689839643075E-2</v>
      </c>
    </row>
    <row r="24" spans="2:13" x14ac:dyDescent="0.2">
      <c r="B24" s="199">
        <v>4.5272788885123733E-2</v>
      </c>
      <c r="C24" s="204">
        <v>-4.0440350483037461E-3</v>
      </c>
      <c r="E24" s="69" t="s">
        <v>339</v>
      </c>
      <c r="F24" s="84">
        <f>F16*F21</f>
        <v>2413.07650156317</v>
      </c>
      <c r="G24" s="100"/>
      <c r="I24" s="185">
        <v>0</v>
      </c>
      <c r="J24" s="187">
        <v>1</v>
      </c>
      <c r="K24" s="188">
        <f t="shared" si="0"/>
        <v>4.9795291394358256E-3</v>
      </c>
      <c r="L24" s="181">
        <f t="shared" si="1"/>
        <v>9.012299187732481E-2</v>
      </c>
      <c r="M24" s="182">
        <f t="shared" si="2"/>
        <v>2.9472964872937542E-2</v>
      </c>
    </row>
    <row r="25" spans="2:13" x14ac:dyDescent="0.2">
      <c r="B25" s="199">
        <v>0.12153048910342872</v>
      </c>
      <c r="C25" s="204">
        <v>4.2515104050123043E-2</v>
      </c>
      <c r="E25" s="69" t="s">
        <v>341</v>
      </c>
      <c r="F25" s="84">
        <f>F16*F22</f>
        <v>7586.9234984368304</v>
      </c>
      <c r="G25" s="100"/>
    </row>
    <row r="26" spans="2:13" x14ac:dyDescent="0.2">
      <c r="B26" s="199">
        <v>-2.3393939393939363E-2</v>
      </c>
      <c r="C26" s="204">
        <v>-8.5066604346810015E-2</v>
      </c>
      <c r="E26" s="69"/>
      <c r="G26" s="100"/>
    </row>
    <row r="27" spans="2:13" x14ac:dyDescent="0.2">
      <c r="B27" s="199">
        <v>-1.2831142169055346E-2</v>
      </c>
      <c r="C27" s="204">
        <v>3.8983415894895589E-2</v>
      </c>
      <c r="E27" s="45" t="s">
        <v>336</v>
      </c>
      <c r="F27" s="67"/>
      <c r="G27" s="103"/>
    </row>
    <row r="28" spans="2:13" x14ac:dyDescent="0.2">
      <c r="B28" s="199">
        <v>-0.1375613939346689</v>
      </c>
      <c r="C28" s="204">
        <v>-2.8686687584043056E-2</v>
      </c>
      <c r="E28" s="69" t="s">
        <v>337</v>
      </c>
      <c r="F28" s="64">
        <f>'Portfolio Management'!J11</f>
        <v>0.35</v>
      </c>
      <c r="G28" s="104">
        <f>F24*F28</f>
        <v>844.57677554710949</v>
      </c>
    </row>
    <row r="29" spans="2:13" x14ac:dyDescent="0.2">
      <c r="B29" s="199">
        <v>-8.5118048178734307E-2</v>
      </c>
      <c r="C29" s="204">
        <v>-7.8431372549019635E-2</v>
      </c>
      <c r="E29" s="69" t="s">
        <v>338</v>
      </c>
      <c r="F29" s="64">
        <f>'Portfolio Management'!I11</f>
        <v>0.65</v>
      </c>
      <c r="G29" s="104">
        <f>F24*F29</f>
        <v>1568.4997260160605</v>
      </c>
    </row>
    <row r="30" spans="2:13" x14ac:dyDescent="0.2">
      <c r="B30" s="199">
        <v>-4.9957368869801344E-2</v>
      </c>
      <c r="C30" s="204">
        <v>0.16222222222222224</v>
      </c>
      <c r="E30" s="69"/>
      <c r="G30" s="100"/>
    </row>
    <row r="31" spans="2:13" x14ac:dyDescent="0.2">
      <c r="B31" s="199">
        <v>1.1699599987969522E-2</v>
      </c>
      <c r="C31" s="204">
        <v>-0.10103689414034236</v>
      </c>
      <c r="E31" s="45" t="s">
        <v>342</v>
      </c>
      <c r="F31" s="26" t="s">
        <v>345</v>
      </c>
      <c r="G31" s="111" t="s">
        <v>16</v>
      </c>
    </row>
    <row r="32" spans="2:13" x14ac:dyDescent="0.2">
      <c r="B32" s="199">
        <v>1.6281192939744438E-2</v>
      </c>
      <c r="C32" s="204">
        <v>0.1274638633377134</v>
      </c>
      <c r="E32" s="69" t="s">
        <v>341</v>
      </c>
      <c r="F32" s="84">
        <f>F25</f>
        <v>7586.9234984368304</v>
      </c>
      <c r="G32" s="119">
        <f>F32/$F$35</f>
        <v>0.75869234984368306</v>
      </c>
    </row>
    <row r="33" spans="2:7" x14ac:dyDescent="0.2">
      <c r="B33" s="199">
        <v>0.13744779582366592</v>
      </c>
      <c r="C33" s="204">
        <v>7.6054216867469895E-2</v>
      </c>
      <c r="E33" s="69" t="s">
        <v>338</v>
      </c>
      <c r="F33" s="84">
        <f>G29</f>
        <v>1568.4997260160605</v>
      </c>
      <c r="G33" s="119">
        <f>F33/$F$35</f>
        <v>0.15684997260160605</v>
      </c>
    </row>
    <row r="34" spans="2:7" x14ac:dyDescent="0.2">
      <c r="B34" s="199">
        <v>-1.656982999784809E-2</v>
      </c>
      <c r="C34" s="204">
        <v>-0.20483564248845418</v>
      </c>
      <c r="E34" s="69" t="s">
        <v>343</v>
      </c>
      <c r="F34" s="84">
        <f>G28</f>
        <v>844.57677554710949</v>
      </c>
      <c r="G34" s="119">
        <f>F34/$F$35</f>
        <v>8.4457677554710953E-2</v>
      </c>
    </row>
    <row r="35" spans="2:7" x14ac:dyDescent="0.2">
      <c r="B35" s="199">
        <v>2.8506915043748179E-2</v>
      </c>
      <c r="C35" s="204">
        <v>-9.6505073280721554E-2</v>
      </c>
      <c r="E35" s="140" t="s">
        <v>344</v>
      </c>
      <c r="F35" s="197">
        <f>SUM(F32:F34)</f>
        <v>10000</v>
      </c>
      <c r="G35" s="198">
        <f>SUM(G32:G34)</f>
        <v>1</v>
      </c>
    </row>
    <row r="36" spans="2:7" x14ac:dyDescent="0.2">
      <c r="B36" s="199">
        <v>3.8858221963974392E-2</v>
      </c>
      <c r="C36" s="204">
        <v>0.14312152991980259</v>
      </c>
    </row>
    <row r="37" spans="2:7" x14ac:dyDescent="0.2">
      <c r="B37" s="199">
        <v>-1.4471397264414659E-2</v>
      </c>
      <c r="C37" s="204">
        <v>-0.17326613870890326</v>
      </c>
    </row>
    <row r="38" spans="2:7" x14ac:dyDescent="0.2">
      <c r="B38" s="199">
        <v>8.0822376997281148E-2</v>
      </c>
      <c r="C38" s="204">
        <v>-6.1975864184904909E-2</v>
      </c>
    </row>
    <row r="39" spans="2:7" x14ac:dyDescent="0.2">
      <c r="B39" s="199">
        <v>2.4474249361805551E-2</v>
      </c>
      <c r="C39" s="204">
        <v>-0.10708782742681038</v>
      </c>
    </row>
    <row r="40" spans="2:7" x14ac:dyDescent="0.2">
      <c r="B40" s="199">
        <v>1.2502596053997886E-2</v>
      </c>
      <c r="C40" s="204">
        <v>5.0278357689631063E-2</v>
      </c>
    </row>
    <row r="41" spans="2:7" x14ac:dyDescent="0.2">
      <c r="B41" s="199">
        <v>3.1294691679986532E-2</v>
      </c>
      <c r="C41" s="204">
        <v>-0.10038468583989735</v>
      </c>
    </row>
    <row r="42" spans="2:7" x14ac:dyDescent="0.2">
      <c r="B42" s="199">
        <v>-1.4763352149369301E-3</v>
      </c>
      <c r="C42" s="204">
        <v>-0.10704178458465123</v>
      </c>
    </row>
    <row r="43" spans="2:7" x14ac:dyDescent="0.2">
      <c r="B43" s="199">
        <v>0.16796739507457503</v>
      </c>
      <c r="C43" s="204">
        <v>-1.7142857142857151E-2</v>
      </c>
    </row>
    <row r="44" spans="2:7" x14ac:dyDescent="0.2">
      <c r="B44" s="199">
        <v>-0.1133402813965607</v>
      </c>
      <c r="C44" s="204">
        <v>-0.13424009461856887</v>
      </c>
    </row>
    <row r="45" spans="2:7" x14ac:dyDescent="0.2">
      <c r="B45" s="199">
        <v>5.8226070676339794E-2</v>
      </c>
      <c r="C45" s="204">
        <v>9.1892596454640221E-2</v>
      </c>
    </row>
    <row r="46" spans="2:7" x14ac:dyDescent="0.2">
      <c r="B46" s="199">
        <v>-5.1687291884101212E-2</v>
      </c>
      <c r="C46" s="204">
        <v>-0.10406200660255489</v>
      </c>
    </row>
    <row r="47" spans="2:7" x14ac:dyDescent="0.2">
      <c r="B47" s="199">
        <v>-8.4825858891356687E-2</v>
      </c>
      <c r="C47" s="204">
        <v>0.11323452938117534</v>
      </c>
    </row>
    <row r="48" spans="2:7" x14ac:dyDescent="0.2">
      <c r="B48" s="199">
        <v>-3.7070918278445684E-2</v>
      </c>
      <c r="C48" s="204">
        <v>-2.9321213898255389E-2</v>
      </c>
    </row>
    <row r="49" spans="2:3" x14ac:dyDescent="0.2">
      <c r="B49" s="199">
        <v>-8.7285252236737221E-2</v>
      </c>
      <c r="C49" s="204">
        <v>0.13032331576698464</v>
      </c>
    </row>
    <row r="50" spans="2:3" x14ac:dyDescent="0.2">
      <c r="B50" s="199">
        <v>3.7125748502994063E-2</v>
      </c>
      <c r="C50" s="204">
        <v>8.6308548968228024E-2</v>
      </c>
    </row>
    <row r="51" spans="2:3" x14ac:dyDescent="0.2">
      <c r="B51" s="199">
        <v>2.7122452254854833E-2</v>
      </c>
      <c r="C51" s="204">
        <v>-9.7687757662663618E-2</v>
      </c>
    </row>
    <row r="52" spans="2:3" x14ac:dyDescent="0.2">
      <c r="B52" s="199">
        <v>0.13440283734741013</v>
      </c>
      <c r="C52" s="204">
        <v>7.5767472240365785E-2</v>
      </c>
    </row>
    <row r="53" spans="2:3" x14ac:dyDescent="0.2">
      <c r="B53" s="199">
        <v>-3.28743627614465E-2</v>
      </c>
      <c r="C53" s="204">
        <v>1.5901060070671979E-3</v>
      </c>
    </row>
    <row r="54" spans="2:3" x14ac:dyDescent="0.2">
      <c r="B54" s="199">
        <v>4.123806448636929E-2</v>
      </c>
      <c r="C54" s="204">
        <v>0.11077685365422046</v>
      </c>
    </row>
    <row r="55" spans="2:3" x14ac:dyDescent="0.2">
      <c r="B55" s="199">
        <v>-6.2063988453211066E-3</v>
      </c>
      <c r="C55" s="204">
        <v>-6.7661691542287824E-3</v>
      </c>
    </row>
    <row r="56" spans="2:3" x14ac:dyDescent="0.2">
      <c r="B56" s="199">
        <v>0.20168308310222807</v>
      </c>
      <c r="C56" s="204">
        <v>5.850958687487634E-2</v>
      </c>
    </row>
    <row r="57" spans="2:3" x14ac:dyDescent="0.2">
      <c r="B57" s="199">
        <v>-1.3895543842836566E-2</v>
      </c>
      <c r="C57" s="204">
        <v>-9.384841486458112E-2</v>
      </c>
    </row>
    <row r="58" spans="2:3" x14ac:dyDescent="0.2">
      <c r="B58" s="199">
        <v>-4.8499527410207986E-2</v>
      </c>
      <c r="C58" s="204">
        <v>-5.4510556621880923E-2</v>
      </c>
    </row>
    <row r="59" spans="2:3" x14ac:dyDescent="0.2">
      <c r="B59" s="199">
        <v>2.7043777114203679E-2</v>
      </c>
      <c r="C59" s="204">
        <v>-6.1885693483801135E-3</v>
      </c>
    </row>
    <row r="60" spans="2:3" x14ac:dyDescent="0.2">
      <c r="B60" s="199">
        <v>-8.5471075337309577E-2</v>
      </c>
      <c r="C60" s="204">
        <v>5.119392185238781E-2</v>
      </c>
    </row>
    <row r="61" spans="2:3" x14ac:dyDescent="0.2">
      <c r="B61" s="199">
        <v>-5.1373699653240998E-2</v>
      </c>
      <c r="C61" s="204">
        <v>0.12869399428026704</v>
      </c>
    </row>
    <row r="62" spans="2:3" x14ac:dyDescent="0.2">
      <c r="B62" s="200">
        <v>5.5814897503553007E-3</v>
      </c>
      <c r="C62" s="205">
        <v>0.12844638949671769</v>
      </c>
    </row>
  </sheetData>
  <mergeCells count="5">
    <mergeCell ref="I2:M2"/>
    <mergeCell ref="O2:Q2"/>
    <mergeCell ref="E2:G2"/>
    <mergeCell ref="E11:G11"/>
    <mergeCell ref="B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0DE6-1725-7347-945A-174A5FEF6A26}">
  <dimension ref="B2:M64"/>
  <sheetViews>
    <sheetView showGridLines="0" zoomScale="110" workbookViewId="0">
      <selection activeCell="P25" sqref="P25"/>
    </sheetView>
  </sheetViews>
  <sheetFormatPr baseColWidth="10" defaultColWidth="11.5" defaultRowHeight="15" x14ac:dyDescent="0.2"/>
  <cols>
    <col min="6" max="6" width="13.6640625" bestFit="1" customWidth="1"/>
  </cols>
  <sheetData>
    <row r="2" spans="2:13" ht="16" thickBot="1" x14ac:dyDescent="0.25">
      <c r="B2" s="243" t="s">
        <v>494</v>
      </c>
      <c r="C2" s="244"/>
      <c r="D2" s="244"/>
      <c r="E2" s="244"/>
      <c r="F2" s="245"/>
      <c r="H2" s="246" t="s">
        <v>492</v>
      </c>
      <c r="I2" s="247"/>
      <c r="J2" s="247"/>
      <c r="K2" s="247"/>
      <c r="L2" s="247"/>
      <c r="M2" s="248"/>
    </row>
    <row r="3" spans="2:13" x14ac:dyDescent="0.2">
      <c r="B3" s="201" t="s">
        <v>0</v>
      </c>
      <c r="C3" s="24" t="s">
        <v>1</v>
      </c>
      <c r="D3" s="24" t="s">
        <v>2</v>
      </c>
      <c r="E3" s="24" t="s">
        <v>3</v>
      </c>
      <c r="F3" s="202" t="s">
        <v>4</v>
      </c>
      <c r="H3" s="217"/>
      <c r="I3" s="60" t="s">
        <v>0</v>
      </c>
      <c r="J3" s="60" t="s">
        <v>1</v>
      </c>
      <c r="K3" s="60" t="s">
        <v>2</v>
      </c>
      <c r="L3" s="60" t="s">
        <v>3</v>
      </c>
      <c r="M3" s="218" t="s">
        <v>4</v>
      </c>
    </row>
    <row r="4" spans="2:13" x14ac:dyDescent="0.2">
      <c r="B4" s="211" cm="1">
        <f t="array" ref="B4:B62">'CI - Stock PX'!G8:G66</f>
        <v>6.308362651577E-2</v>
      </c>
      <c r="C4" s="212" cm="1">
        <f t="array" ref="C4:C62">'KMB - Stock PX'!G8:G66</f>
        <v>6.7409136929653295E-3</v>
      </c>
      <c r="D4" s="212" cm="1">
        <f t="array" ref="D4:D62">'EBAY - Stock PX'!G8:G66</f>
        <v>4.4716694771145954E-2</v>
      </c>
      <c r="E4" s="212" cm="1">
        <f t="array" ref="E4:E62">'CAT - Stock PX'!G8:G66</f>
        <v>-4.6409207448958899E-2</v>
      </c>
      <c r="F4" s="213" cm="1">
        <f t="array" ref="F4:F62">'SPX - Tot Ret'!D2:D60</f>
        <v>-6.1058296283756627E-2</v>
      </c>
      <c r="H4" s="69" t="s">
        <v>0</v>
      </c>
      <c r="I4">
        <f>CORREL(_xlfn.ANCHORARRAY(B4),_xlfn.ANCHORARRAY(B4))</f>
        <v>1</v>
      </c>
      <c r="J4">
        <f>CORREL(_xlfn.ANCHORARRAY(B4),_xlfn.ANCHORARRAY(C4))</f>
        <v>0.22710209310143162</v>
      </c>
      <c r="K4">
        <f>CORREL(_xlfn.ANCHORARRAY(B4),_xlfn.ANCHORARRAY(D4))</f>
        <v>0.19707199305216833</v>
      </c>
      <c r="L4">
        <f>CORREL(_xlfn.ANCHORARRAY(B4),_xlfn.ANCHORARRAY(E4))</f>
        <v>0.38248323330813838</v>
      </c>
      <c r="M4" s="100">
        <f>CORREL(_xlfn.ANCHORARRAY(B4),_xlfn.ANCHORARRAY(F4))</f>
        <v>0.22033806431734926</v>
      </c>
    </row>
    <row r="5" spans="2:13" x14ac:dyDescent="0.2">
      <c r="B5" s="211">
        <v>4.3371710094923466E-2</v>
      </c>
      <c r="C5" s="212">
        <v>8.1275928444006246E-2</v>
      </c>
      <c r="D5" s="212">
        <v>-4.5829972042014354E-2</v>
      </c>
      <c r="E5" s="212">
        <v>-8.7530674007850084E-2</v>
      </c>
      <c r="F5" s="213">
        <v>-1.4447896548828575E-2</v>
      </c>
      <c r="H5" s="69" t="s">
        <v>1</v>
      </c>
      <c r="I5">
        <v>0.22710209310143162</v>
      </c>
      <c r="J5">
        <v>1</v>
      </c>
      <c r="K5">
        <f>CORREL(_xlfn.ANCHORARRAY(C4),_xlfn.ANCHORARRAY(D4))</f>
        <v>0.33701043841087824</v>
      </c>
      <c r="L5">
        <f>CORREL(_xlfn.ANCHORARRAY(C4),_xlfn.ANCHORARRAY(E4))</f>
        <v>0.1625708198436556</v>
      </c>
      <c r="M5" s="100">
        <f>CORREL(_xlfn.ANCHORARRAY(C4),_xlfn.ANCHORARRAY(F4))</f>
        <v>0.3022922276737543</v>
      </c>
    </row>
    <row r="6" spans="2:13" x14ac:dyDescent="0.2">
      <c r="B6" s="211">
        <v>5.2370027362338679E-2</v>
      </c>
      <c r="C6" s="212">
        <v>-2.140170064245589E-2</v>
      </c>
      <c r="D6" s="212">
        <v>7.8167957468879681E-2</v>
      </c>
      <c r="E6" s="212">
        <v>2.3279571107684138E-2</v>
      </c>
      <c r="F6" s="213">
        <v>2.630563874362012E-2</v>
      </c>
      <c r="H6" s="69" t="s">
        <v>2</v>
      </c>
      <c r="I6">
        <v>0.19707199305216833</v>
      </c>
      <c r="J6">
        <v>0.33701043841087824</v>
      </c>
      <c r="K6">
        <v>1</v>
      </c>
      <c r="L6">
        <f>CORREL(_xlfn.ANCHORARRAY(D4),_xlfn.ANCHORARRAY(E4))</f>
        <v>0.60939707316606306</v>
      </c>
      <c r="M6" s="100">
        <f>CORREL(_xlfn.ANCHORARRAY(D4),_xlfn.ANCHORARRAY(F4))</f>
        <v>0.69529735140646209</v>
      </c>
    </row>
    <row r="7" spans="2:13" x14ac:dyDescent="0.2">
      <c r="B7" s="211">
        <v>-0.22035172356669569</v>
      </c>
      <c r="C7" s="212">
        <v>-5.7414032587328016E-2</v>
      </c>
      <c r="D7" s="212">
        <v>-2.9796200564971738E-2</v>
      </c>
      <c r="E7" s="212">
        <v>-0.12330799619583202</v>
      </c>
      <c r="F7" s="213">
        <v>-2.5630650006885847E-2</v>
      </c>
      <c r="H7" s="69" t="s">
        <v>3</v>
      </c>
      <c r="I7">
        <v>0.38248323330813838</v>
      </c>
      <c r="J7">
        <v>0.1625708198436556</v>
      </c>
      <c r="K7">
        <v>0.60939707316606306</v>
      </c>
      <c r="L7">
        <v>1</v>
      </c>
      <c r="M7" s="100">
        <f>CORREL(_xlfn.ANCHORARRAY(E4),_xlfn.ANCHORARRAY(F4))</f>
        <v>0.68508413622059561</v>
      </c>
    </row>
    <row r="8" spans="2:13" ht="16" thickBot="1" x14ac:dyDescent="0.25">
      <c r="B8" s="211">
        <v>6.529271635682786E-2</v>
      </c>
      <c r="C8" s="212">
        <v>3.3627075260136259E-2</v>
      </c>
      <c r="D8" s="212">
        <v>9.1711901353052294E-2</v>
      </c>
      <c r="E8" s="212">
        <v>6.6704280582847011E-2</v>
      </c>
      <c r="F8" s="213">
        <v>5.4195856361834015E-2</v>
      </c>
      <c r="H8" s="196" t="s">
        <v>4</v>
      </c>
      <c r="I8" s="59">
        <v>0.22033806431734926</v>
      </c>
      <c r="J8" s="59">
        <v>0.3022922276737543</v>
      </c>
      <c r="K8" s="59">
        <v>0.69529735140646209</v>
      </c>
      <c r="L8" s="59">
        <v>0.68508413622059561</v>
      </c>
      <c r="M8" s="219">
        <v>1</v>
      </c>
    </row>
    <row r="9" spans="2:13" x14ac:dyDescent="0.2">
      <c r="B9" s="211">
        <v>-0.10926681753449043</v>
      </c>
      <c r="C9" s="212">
        <v>-7.3029269091270374E-2</v>
      </c>
      <c r="D9" s="212">
        <v>-0.13572126360632938</v>
      </c>
      <c r="E9" s="212">
        <v>-3.9347987526813358E-2</v>
      </c>
      <c r="F9" s="213">
        <v>-9.9957058601862683E-3</v>
      </c>
    </row>
    <row r="10" spans="2:13" ht="16" thickBot="1" x14ac:dyDescent="0.25">
      <c r="B10" s="211">
        <v>-4.2882803014403573E-2</v>
      </c>
      <c r="C10" s="212">
        <v>-1.1234373693379766E-2</v>
      </c>
      <c r="D10" s="212">
        <v>8.5007750998310483E-2</v>
      </c>
      <c r="E10" s="212">
        <v>8.6386987778686808E-2</v>
      </c>
      <c r="F10" s="213">
        <v>1.9797031833516113E-2</v>
      </c>
      <c r="H10" s="246" t="s">
        <v>493</v>
      </c>
      <c r="I10" s="247"/>
      <c r="J10" s="247"/>
      <c r="K10" s="247"/>
      <c r="L10" s="247"/>
      <c r="M10" s="248"/>
    </row>
    <row r="11" spans="2:13" x14ac:dyDescent="0.2">
      <c r="B11" s="211">
        <v>3.2499966334854011E-2</v>
      </c>
      <c r="C11" s="212">
        <v>6.3178799460804555E-2</v>
      </c>
      <c r="D11" s="212">
        <v>6.0078815647633566E-2</v>
      </c>
      <c r="E11" s="212">
        <v>2.0588784189834342E-2</v>
      </c>
      <c r="F11" s="213">
        <v>2.2324906168118309E-2</v>
      </c>
      <c r="H11" s="217"/>
      <c r="I11" s="60" t="s">
        <v>0</v>
      </c>
      <c r="J11" s="60" t="s">
        <v>1</v>
      </c>
      <c r="K11" s="60" t="s">
        <v>2</v>
      </c>
      <c r="L11" s="60" t="s">
        <v>3</v>
      </c>
      <c r="M11" s="218" t="s">
        <v>4</v>
      </c>
    </row>
    <row r="12" spans="2:13" x14ac:dyDescent="0.2">
      <c r="B12" s="211">
        <v>4.5793181463638567E-2</v>
      </c>
      <c r="C12" s="212">
        <v>-3.5716385783043141E-2</v>
      </c>
      <c r="D12" s="212">
        <v>3.0628693040820006E-2</v>
      </c>
      <c r="E12" s="212">
        <v>3.8384182330772967E-2</v>
      </c>
      <c r="F12" s="213">
        <v>1.1194610941093497E-2</v>
      </c>
      <c r="H12" s="69" t="s">
        <v>0</v>
      </c>
      <c r="I12">
        <f>VARP('Excess Return Analysis'!$B$4:$B$62)</f>
        <v>6.2842313707220107E-3</v>
      </c>
      <c r="J12">
        <v>9.6292943568311563E-4</v>
      </c>
      <c r="K12">
        <v>1.4092895464356244E-3</v>
      </c>
      <c r="L12">
        <v>2.6455691213709957E-3</v>
      </c>
      <c r="M12" s="100">
        <v>8.0819173655508232E-4</v>
      </c>
    </row>
    <row r="13" spans="2:13" x14ac:dyDescent="0.2">
      <c r="B13" s="211">
        <v>-4.1964882376299306E-2</v>
      </c>
      <c r="C13" s="212">
        <v>4.0232724489551785E-2</v>
      </c>
      <c r="D13" s="212">
        <v>-1.7996998200546101E-2</v>
      </c>
      <c r="E13" s="212">
        <v>-1.9934806639647629E-2</v>
      </c>
      <c r="F13" s="213">
        <v>3.3508043248945032E-2</v>
      </c>
      <c r="H13" s="69" t="s">
        <v>1</v>
      </c>
      <c r="I13">
        <v>9.6292943568311563E-4</v>
      </c>
      <c r="J13">
        <f>VARP('Excess Return Analysis'!$C$4:$C$62)</f>
        <v>2.8608460335960042E-3</v>
      </c>
      <c r="K13">
        <v>1.6260722335536986E-3</v>
      </c>
      <c r="L13">
        <v>7.5870066776675992E-4</v>
      </c>
      <c r="M13" s="100">
        <v>7.4812301660718921E-4</v>
      </c>
    </row>
    <row r="14" spans="2:13" x14ac:dyDescent="0.2">
      <c r="B14" s="211">
        <v>-4.121825156849087E-2</v>
      </c>
      <c r="C14" s="212">
        <v>-2.797980776444103E-2</v>
      </c>
      <c r="D14" s="212">
        <v>5.038962401358052E-2</v>
      </c>
      <c r="E14" s="212">
        <v>4.0794433120642133E-3</v>
      </c>
      <c r="F14" s="213">
        <v>4.5820851121078046E-2</v>
      </c>
      <c r="H14" s="69" t="s">
        <v>2</v>
      </c>
      <c r="I14">
        <v>1.4092895464356244E-3</v>
      </c>
      <c r="J14">
        <v>1.6260722335536986E-3</v>
      </c>
      <c r="K14">
        <f>VARP('Excess Return Analysis'!$D$4:$D$62)</f>
        <v>8.1376400725308978E-3</v>
      </c>
      <c r="L14">
        <v>4.7965638537932533E-3</v>
      </c>
      <c r="M14" s="100">
        <v>2.9021416515251698E-3</v>
      </c>
    </row>
    <row r="15" spans="2:13" x14ac:dyDescent="0.2">
      <c r="B15" s="211">
        <v>-2.4645675765720278E-2</v>
      </c>
      <c r="C15" s="212">
        <v>3.9753576173734768E-2</v>
      </c>
      <c r="D15" s="212">
        <v>-3.3197466239813837E-2</v>
      </c>
      <c r="E15" s="212">
        <v>-9.4887417815424632E-2</v>
      </c>
      <c r="F15" s="213">
        <v>-4.3422053382952637E-2</v>
      </c>
      <c r="H15" s="69" t="s">
        <v>3</v>
      </c>
      <c r="I15">
        <v>2.6455691213709957E-3</v>
      </c>
      <c r="J15">
        <v>7.5870066776675992E-4</v>
      </c>
      <c r="K15">
        <v>4.7965638537932533E-3</v>
      </c>
      <c r="L15">
        <f>VARP('Excess Return Analysis'!$E$4:$E$62)</f>
        <v>7.6130951107177261E-3</v>
      </c>
      <c r="M15" s="100">
        <v>2.7658162984574783E-3</v>
      </c>
    </row>
    <row r="16" spans="2:13" ht="16" thickBot="1" x14ac:dyDescent="0.25">
      <c r="B16" s="211">
        <v>7.5684587762966479E-2</v>
      </c>
      <c r="C16" s="212">
        <v>6.8491784923795609E-2</v>
      </c>
      <c r="D16" s="212">
        <v>0.1052650657398681</v>
      </c>
      <c r="E16" s="212">
        <v>8.5111490305106105E-2</v>
      </c>
      <c r="F16" s="213">
        <v>3.0085548164853867E-2</v>
      </c>
      <c r="H16" s="196" t="s">
        <v>4</v>
      </c>
      <c r="I16" s="59">
        <v>8.0819173655508232E-4</v>
      </c>
      <c r="J16" s="59">
        <v>7.4812301660718921E-4</v>
      </c>
      <c r="K16" s="59">
        <v>2.9021416515251698E-3</v>
      </c>
      <c r="L16" s="59">
        <v>2.7658162984574783E-3</v>
      </c>
      <c r="M16" s="219">
        <f>VARP('Excess Return Analysis'!$F$4:$F$62)</f>
        <v>2.1409059309068102E-3</v>
      </c>
    </row>
    <row r="17" spans="2:13" x14ac:dyDescent="0.2">
      <c r="B17" s="211">
        <v>9.9639389113944279E-2</v>
      </c>
      <c r="C17" s="212">
        <v>-1.8912597590162352E-3</v>
      </c>
      <c r="D17" s="212">
        <v>0.12780334433164131</v>
      </c>
      <c r="E17" s="212">
        <v>9.3326055036531227E-2</v>
      </c>
      <c r="F17" s="213">
        <v>4.9177143283224943E-2</v>
      </c>
    </row>
    <row r="18" spans="2:13" x14ac:dyDescent="0.2">
      <c r="B18" s="211">
        <v>-2.1310653646872094E-3</v>
      </c>
      <c r="C18" s="212">
        <v>-1.7478734589843319E-2</v>
      </c>
      <c r="D18" s="212">
        <v>-6.5349449476503466E-2</v>
      </c>
      <c r="E18" s="212">
        <v>1.6433973884597098E-2</v>
      </c>
      <c r="F18" s="213">
        <v>1.5647023619122246E-2</v>
      </c>
    </row>
    <row r="19" spans="2:13" x14ac:dyDescent="0.2">
      <c r="B19" s="211">
        <v>0.12259038667398207</v>
      </c>
      <c r="C19" s="212">
        <v>-1.1709231796940734E-2</v>
      </c>
      <c r="D19" s="212">
        <v>5.0871038858321865E-2</v>
      </c>
      <c r="E19" s="212">
        <v>0.14879501500264938</v>
      </c>
      <c r="F19" s="213">
        <v>4.2355807230027014E-2</v>
      </c>
      <c r="H19" s="240" t="s">
        <v>5</v>
      </c>
      <c r="I19" s="241"/>
      <c r="J19" s="242"/>
      <c r="L19" s="240" t="s">
        <v>10</v>
      </c>
      <c r="M19" s="242"/>
    </row>
    <row r="20" spans="2:13" x14ac:dyDescent="0.2">
      <c r="B20" s="211">
        <v>-0.17929951363002408</v>
      </c>
      <c r="C20" s="212">
        <v>2.9450514076349067E-2</v>
      </c>
      <c r="D20" s="212">
        <v>4.559486055905642E-2</v>
      </c>
      <c r="E20" s="212">
        <v>8.9606217400552982E-2</v>
      </c>
      <c r="F20" s="213">
        <v>8.1877490257892205E-2</v>
      </c>
      <c r="H20" s="69"/>
      <c r="I20" s="209" t="s">
        <v>489</v>
      </c>
      <c r="J20" s="210" t="s">
        <v>490</v>
      </c>
      <c r="L20" s="69"/>
      <c r="M20" s="203" t="s">
        <v>491</v>
      </c>
    </row>
    <row r="21" spans="2:13" x14ac:dyDescent="0.2">
      <c r="B21" s="211">
        <v>6.6355996465430694E-2</v>
      </c>
      <c r="C21" s="212">
        <v>-2.4085513122701442E-2</v>
      </c>
      <c r="D21" s="212">
        <v>-0.12799369872121694</v>
      </c>
      <c r="E21" s="212">
        <v>-0.20490064747819062</v>
      </c>
      <c r="F21" s="213">
        <v>-2.2473651580905144E-2</v>
      </c>
      <c r="H21" s="43" t="s">
        <v>6</v>
      </c>
      <c r="I21" s="46">
        <f>I16/F64</f>
        <v>0.37749988212362118</v>
      </c>
      <c r="J21" s="46">
        <f>SLOPE(_xlfn.ANCHORARRAY(B4),_xlfn.ANCHORARRAY(F4))</f>
        <v>0.37749988212362157</v>
      </c>
      <c r="L21" s="43" t="s">
        <v>11</v>
      </c>
      <c r="M21" s="49">
        <f>INTERCEPT(_xlfn.ANCHORARRAY(B4),_xlfn.ANCHORARRAY(F4))</f>
        <v>-5.1034030367387269E-4</v>
      </c>
    </row>
    <row r="22" spans="2:13" x14ac:dyDescent="0.2">
      <c r="B22" s="211">
        <v>3.4233282456231966E-2</v>
      </c>
      <c r="C22" s="212">
        <v>-5.9533252294517836E-2</v>
      </c>
      <c r="D22" s="212">
        <v>-2.5129277217055969E-2</v>
      </c>
      <c r="E22" s="212">
        <v>-3.3589469780219761E-2</v>
      </c>
      <c r="F22" s="213">
        <v>-5.1214421473630124E-2</v>
      </c>
      <c r="H22" s="44" t="s">
        <v>7</v>
      </c>
      <c r="I22" s="47">
        <f>J16/F64</f>
        <v>0.34944226451384131</v>
      </c>
      <c r="J22" s="47">
        <f>SLOPE(_xlfn.ANCHORARRAY(C4),_xlfn.ANCHORARRAY(F4))</f>
        <v>0.34944226451384158</v>
      </c>
      <c r="L22" s="44" t="s">
        <v>12</v>
      </c>
      <c r="M22" s="50">
        <f>INTERCEPT(_xlfn.ANCHORARRAY(C4),_xlfn.ANCHORARRAY(F4))</f>
        <v>-6.7336438265150241E-3</v>
      </c>
    </row>
    <row r="23" spans="2:13" x14ac:dyDescent="0.2">
      <c r="B23" s="211">
        <v>-7.1156248275321521E-2</v>
      </c>
      <c r="C23" s="212">
        <v>-5.5192018098785102E-3</v>
      </c>
      <c r="D23" s="212">
        <v>8.1244403175661367E-3</v>
      </c>
      <c r="E23" s="212">
        <v>4.8723277033756514E-2</v>
      </c>
      <c r="F23" s="213">
        <v>-1.803596544548617E-2</v>
      </c>
      <c r="H23" s="44" t="s">
        <v>8</v>
      </c>
      <c r="I23" s="47">
        <f>K16/F64</f>
        <v>1.3555671034532226</v>
      </c>
      <c r="J23" s="47">
        <f>SLOPE(_xlfn.ANCHORARRAY(D4),_xlfn.ANCHORARRAY(F4))</f>
        <v>1.3555671034532237</v>
      </c>
      <c r="L23" s="44" t="s">
        <v>13</v>
      </c>
      <c r="M23" s="50">
        <f>INTERCEPT(_xlfn.ANCHORARRAY(D4),_xlfn.ANCHORARRAY(F4))</f>
        <v>-1.096809855124356E-2</v>
      </c>
    </row>
    <row r="24" spans="2:13" x14ac:dyDescent="0.2">
      <c r="B24" s="211">
        <v>4.1973788885123729E-2</v>
      </c>
      <c r="C24" s="212">
        <v>-8.1842764523625211E-2</v>
      </c>
      <c r="D24" s="212">
        <v>-7.3430350483037459E-3</v>
      </c>
      <c r="E24" s="212">
        <v>7.3332515742860413E-2</v>
      </c>
      <c r="F24" s="213">
        <v>3.0198563508943187E-2</v>
      </c>
      <c r="H24" s="45" t="s">
        <v>9</v>
      </c>
      <c r="I24" s="48">
        <f>L16/F64</f>
        <v>1.2918906237444905</v>
      </c>
      <c r="J24" s="48">
        <f>SLOPE(_xlfn.ANCHORARRAY(E4),_xlfn.ANCHORARRAY(F4))</f>
        <v>1.2918906237444918</v>
      </c>
      <c r="L24" s="45" t="s">
        <v>14</v>
      </c>
      <c r="M24" s="51">
        <f>INTERCEPT(_xlfn.ANCHORARRAY(E4),_xlfn.ANCHORARRAY(F4))</f>
        <v>-1.8089424206716043E-3</v>
      </c>
    </row>
    <row r="25" spans="2:13" x14ac:dyDescent="0.2">
      <c r="B25" s="211">
        <v>0.11833323910342872</v>
      </c>
      <c r="C25" s="212">
        <v>3.2424697716173567E-2</v>
      </c>
      <c r="D25" s="212">
        <v>3.9317854050123044E-2</v>
      </c>
      <c r="E25" s="212">
        <v>0.16059059799837433</v>
      </c>
      <c r="F25" s="213">
        <v>6.0792561534071289E-2</v>
      </c>
    </row>
    <row r="26" spans="2:13" x14ac:dyDescent="0.2">
      <c r="B26" s="211">
        <v>-2.6429439393939363E-2</v>
      </c>
      <c r="C26" s="212">
        <v>-8.2049500595769917E-2</v>
      </c>
      <c r="D26" s="212">
        <v>-8.8102104346810012E-2</v>
      </c>
      <c r="E26" s="212">
        <v>-7.22943092345079E-2</v>
      </c>
      <c r="F26" s="213">
        <v>2.4761772607977748E-3</v>
      </c>
    </row>
    <row r="27" spans="2:13" x14ac:dyDescent="0.2">
      <c r="B27" s="211">
        <v>-1.5682808835722012E-2</v>
      </c>
      <c r="C27" s="212">
        <v>6.264629730600213E-2</v>
      </c>
      <c r="D27" s="212">
        <v>3.613174922822892E-2</v>
      </c>
      <c r="E27" s="212">
        <v>-4.3033484848484869E-2</v>
      </c>
      <c r="F27" s="213">
        <v>1.4431056150886723E-2</v>
      </c>
    </row>
    <row r="28" spans="2:13" x14ac:dyDescent="0.2">
      <c r="B28" s="211">
        <v>-0.14045106060133558</v>
      </c>
      <c r="C28" s="212">
        <v>7.3550510585918327E-2</v>
      </c>
      <c r="D28" s="212">
        <v>-3.1576354250709725E-2</v>
      </c>
      <c r="E28" s="212">
        <v>-4.9690925187904245E-2</v>
      </c>
      <c r="F28" s="213">
        <v>3.3864566070702942E-2</v>
      </c>
    </row>
    <row r="29" spans="2:13" x14ac:dyDescent="0.2">
      <c r="B29" s="211">
        <v>-8.8384714845400975E-2</v>
      </c>
      <c r="C29" s="212">
        <v>-4.2930801012928115E-2</v>
      </c>
      <c r="D29" s="212">
        <v>-8.1698039215686302E-2</v>
      </c>
      <c r="E29" s="212">
        <v>-6.1459110832811394E-2</v>
      </c>
      <c r="F29" s="213">
        <v>-2.6812588945002033E-2</v>
      </c>
    </row>
    <row r="30" spans="2:13" x14ac:dyDescent="0.2">
      <c r="B30" s="211">
        <v>-5.2879785536468008E-2</v>
      </c>
      <c r="C30" s="212">
        <v>-5.5995257217393575E-2</v>
      </c>
      <c r="D30" s="212">
        <v>0.15929980555555556</v>
      </c>
      <c r="E30" s="212">
        <v>5.2030441434244533E-2</v>
      </c>
      <c r="F30" s="213">
        <v>5.8161212775351988E-2</v>
      </c>
    </row>
    <row r="31" spans="2:13" x14ac:dyDescent="0.2">
      <c r="B31" s="211">
        <v>8.470599987969521E-3</v>
      </c>
      <c r="C31" s="212">
        <v>6.120207508582289E-3</v>
      </c>
      <c r="D31" s="212">
        <v>-0.10426589414034236</v>
      </c>
      <c r="E31" s="212">
        <v>9.9201066956086381E-3</v>
      </c>
      <c r="F31" s="213">
        <v>-6.2667013934106036E-2</v>
      </c>
    </row>
    <row r="32" spans="2:13" x14ac:dyDescent="0.2">
      <c r="B32" s="211">
        <v>1.3276692939744438E-2</v>
      </c>
      <c r="C32" s="212">
        <v>7.9351910823564131E-2</v>
      </c>
      <c r="D32" s="212">
        <v>0.1244593633377134</v>
      </c>
      <c r="E32" s="212">
        <v>7.6306865847468389E-2</v>
      </c>
      <c r="F32" s="213">
        <v>5.1010879608638031E-2</v>
      </c>
    </row>
    <row r="33" spans="2:8" x14ac:dyDescent="0.2">
      <c r="B33" s="211">
        <v>0.13407462915699925</v>
      </c>
      <c r="C33" s="212">
        <v>8.3080312362740313E-2</v>
      </c>
      <c r="D33" s="212">
        <v>7.2681050200803232E-2</v>
      </c>
      <c r="E33" s="212">
        <v>0.24279057494869666</v>
      </c>
      <c r="F33" s="213">
        <v>7.3956993579512326E-2</v>
      </c>
    </row>
    <row r="34" spans="2:8" x14ac:dyDescent="0.2">
      <c r="B34" s="211">
        <v>-1.9760329997848089E-2</v>
      </c>
      <c r="C34" s="212">
        <v>-0.12473843315743177</v>
      </c>
      <c r="D34" s="212">
        <v>-0.20802614248845419</v>
      </c>
      <c r="E34" s="212">
        <v>-0.12892185056070207</v>
      </c>
      <c r="F34" s="213">
        <v>-0.10301705144438064</v>
      </c>
    </row>
    <row r="35" spans="2:8" x14ac:dyDescent="0.2">
      <c r="B35" s="211">
        <v>2.584641504374818E-2</v>
      </c>
      <c r="C35" s="212">
        <v>-3.6145443538268478E-2</v>
      </c>
      <c r="D35" s="212">
        <v>-9.916557328072155E-2</v>
      </c>
      <c r="E35" s="212">
        <v>-8.2461268772670557E-2</v>
      </c>
      <c r="F35" s="213">
        <v>-4.4321112515802771E-2</v>
      </c>
    </row>
    <row r="36" spans="2:8" x14ac:dyDescent="0.2">
      <c r="B36" s="211">
        <v>3.6650971963974391E-2</v>
      </c>
      <c r="C36" s="212">
        <v>-3.6504237631838611E-2</v>
      </c>
      <c r="D36" s="212">
        <v>0.1409142799198026</v>
      </c>
      <c r="E36" s="212">
        <v>0.10152802199799449</v>
      </c>
      <c r="F36" s="213">
        <v>8.3507453471790088E-2</v>
      </c>
      <c r="H36" s="63"/>
    </row>
    <row r="37" spans="2:8" x14ac:dyDescent="0.2">
      <c r="B37" s="211">
        <v>-1.698214726441466E-2</v>
      </c>
      <c r="C37" s="212">
        <v>2.1625410223020999E-2</v>
      </c>
      <c r="D37" s="212">
        <v>-0.17577688870890326</v>
      </c>
      <c r="E37" s="212">
        <v>-0.20999564594987696</v>
      </c>
      <c r="F37" s="213">
        <v>-9.1607711775303802E-2</v>
      </c>
      <c r="H37" s="63"/>
    </row>
    <row r="38" spans="2:8" x14ac:dyDescent="0.2">
      <c r="B38" s="211">
        <v>7.845229366394782E-2</v>
      </c>
      <c r="C38" s="212">
        <v>-4.6047725793113836E-2</v>
      </c>
      <c r="D38" s="212">
        <v>-6.4345947518238245E-2</v>
      </c>
      <c r="E38" s="212">
        <v>1.7087873581190592E-2</v>
      </c>
      <c r="F38" s="213">
        <v>5.3241048848503849E-5</v>
      </c>
    </row>
    <row r="39" spans="2:8" x14ac:dyDescent="0.2">
      <c r="B39" s="211">
        <v>2.2029582695138883E-2</v>
      </c>
      <c r="C39" s="212">
        <v>0.1020716482508585</v>
      </c>
      <c r="D39" s="212">
        <v>-0.10953249409347704</v>
      </c>
      <c r="E39" s="212">
        <v>-5.5220475785494855E-2</v>
      </c>
      <c r="F39" s="213">
        <v>-9.6439194274830289E-2</v>
      </c>
    </row>
    <row r="40" spans="2:8" x14ac:dyDescent="0.2">
      <c r="B40" s="211">
        <v>1.0554262720664552E-2</v>
      </c>
      <c r="C40" s="212">
        <v>-4.8843442728442835E-2</v>
      </c>
      <c r="D40" s="212">
        <v>4.8330024356297727E-2</v>
      </c>
      <c r="E40" s="212">
        <v>0.15620623088890875</v>
      </c>
      <c r="F40" s="213">
        <v>3.4537712922230054E-2</v>
      </c>
    </row>
    <row r="41" spans="2:8" x14ac:dyDescent="0.2">
      <c r="B41" s="211">
        <v>2.9773858346653199E-2</v>
      </c>
      <c r="C41" s="212">
        <v>-5.9146649699065176E-2</v>
      </c>
      <c r="D41" s="212">
        <v>-0.10190551917323068</v>
      </c>
      <c r="E41" s="212">
        <v>-8.1966509844688507E-2</v>
      </c>
      <c r="F41" s="213">
        <v>-3.2375844204538838E-2</v>
      </c>
    </row>
    <row r="42" spans="2:8" x14ac:dyDescent="0.2">
      <c r="B42" s="211">
        <v>-2.9569185482702636E-3</v>
      </c>
      <c r="C42" s="212">
        <v>-4.804796437219979E-2</v>
      </c>
      <c r="D42" s="212">
        <v>-0.10852236791798456</v>
      </c>
      <c r="E42" s="212">
        <v>-2.1562489880922978E-2</v>
      </c>
      <c r="F42" s="213">
        <v>-5.5503759231987269E-2</v>
      </c>
    </row>
    <row r="43" spans="2:8" x14ac:dyDescent="0.2">
      <c r="B43" s="211">
        <v>0.16670897840790835</v>
      </c>
      <c r="C43" s="212">
        <v>9.418792513536009E-2</v>
      </c>
      <c r="D43" s="212">
        <v>-1.8401273809523819E-2</v>
      </c>
      <c r="E43" s="212">
        <v>6.3508923954403343E-2</v>
      </c>
      <c r="F43" s="213">
        <v>4.1790280686000165E-2</v>
      </c>
    </row>
    <row r="44" spans="2:8" x14ac:dyDescent="0.2">
      <c r="B44" s="211">
        <v>-0.11454386472989403</v>
      </c>
      <c r="C44" s="212">
        <v>5.0891033369144844E-3</v>
      </c>
      <c r="D44" s="212">
        <v>-0.13544367795190221</v>
      </c>
      <c r="E44" s="212">
        <v>-6.2077645914145385E-2</v>
      </c>
      <c r="F44" s="213">
        <v>-8.403766148456341E-3</v>
      </c>
    </row>
    <row r="45" spans="2:8" x14ac:dyDescent="0.2">
      <c r="B45" s="211">
        <v>5.693265400967313E-2</v>
      </c>
      <c r="C45" s="212">
        <v>-3.287886728061349E-2</v>
      </c>
      <c r="D45" s="212">
        <v>9.0599179787973549E-2</v>
      </c>
      <c r="E45" s="212">
        <v>6.2815397685907451E-2</v>
      </c>
      <c r="F45" s="213">
        <v>6.4672187745636656E-2</v>
      </c>
    </row>
    <row r="46" spans="2:8" x14ac:dyDescent="0.2">
      <c r="B46" s="211">
        <v>-5.2926708550767879E-2</v>
      </c>
      <c r="C46" s="212">
        <v>-3.2905833794979425E-2</v>
      </c>
      <c r="D46" s="212">
        <v>-0.10530142326922157</v>
      </c>
      <c r="E46" s="212">
        <v>-9.9692299929676542E-2</v>
      </c>
      <c r="F46" s="213">
        <v>-4.9944980197514199E-2</v>
      </c>
    </row>
    <row r="47" spans="2:8" x14ac:dyDescent="0.2">
      <c r="B47" s="211">
        <v>-8.5916525558023357E-2</v>
      </c>
      <c r="C47" s="212">
        <v>1.4075141329850301E-2</v>
      </c>
      <c r="D47" s="212">
        <v>0.11214386271450867</v>
      </c>
      <c r="E47" s="212">
        <v>1.3183530706122212E-2</v>
      </c>
      <c r="F47" s="213">
        <v>2.8173560809077819E-2</v>
      </c>
    </row>
    <row r="48" spans="2:8" x14ac:dyDescent="0.2">
      <c r="B48" s="211">
        <v>-3.8089501611779021E-2</v>
      </c>
      <c r="C48" s="212">
        <v>4.8759053197760934E-3</v>
      </c>
      <c r="D48" s="212">
        <v>-3.0339797231588722E-2</v>
      </c>
      <c r="E48" s="212">
        <v>-4.8021373672984938E-2</v>
      </c>
      <c r="F48" s="213">
        <v>2.2242142671878389E-2</v>
      </c>
    </row>
    <row r="49" spans="2:7" x14ac:dyDescent="0.2">
      <c r="B49" s="211">
        <v>-8.8508585570070547E-2</v>
      </c>
      <c r="C49" s="212">
        <v>3.057328688605588E-2</v>
      </c>
      <c r="D49" s="212">
        <v>0.12909998243365131</v>
      </c>
      <c r="E49" s="212">
        <v>-0.10897502197920025</v>
      </c>
      <c r="F49" s="213">
        <v>2.1731239092495712E-2</v>
      </c>
    </row>
    <row r="50" spans="2:7" x14ac:dyDescent="0.2">
      <c r="B50" s="211">
        <v>3.5797165169660729E-2</v>
      </c>
      <c r="C50" s="212">
        <v>-2.1921096538569482E-2</v>
      </c>
      <c r="D50" s="212">
        <v>8.4979965634894697E-2</v>
      </c>
      <c r="E50" s="212">
        <v>4.8198544591007121E-2</v>
      </c>
      <c r="F50" s="213">
        <v>5.4565651231769869E-3</v>
      </c>
    </row>
    <row r="51" spans="2:7" x14ac:dyDescent="0.2">
      <c r="B51" s="211">
        <v>2.5767535588188166E-2</v>
      </c>
      <c r="C51" s="212">
        <v>-5.2885069681968232E-2</v>
      </c>
      <c r="D51" s="212">
        <v>-9.9042674329330282E-2</v>
      </c>
      <c r="E51" s="212">
        <v>-1.3269030308981362E-2</v>
      </c>
      <c r="F51" s="213">
        <v>4.9813808096776789E-2</v>
      </c>
    </row>
    <row r="52" spans="2:7" x14ac:dyDescent="0.2">
      <c r="B52" s="211">
        <v>0.13295250401407679</v>
      </c>
      <c r="C52" s="212">
        <v>8.3149138811612705E-2</v>
      </c>
      <c r="D52" s="212">
        <v>7.4317138907032454E-2</v>
      </c>
      <c r="E52" s="212">
        <v>6.7510722430672396E-2</v>
      </c>
      <c r="F52" s="213">
        <v>4.0710918248428672E-2</v>
      </c>
    </row>
    <row r="53" spans="2:7" x14ac:dyDescent="0.2">
      <c r="B53" s="211">
        <v>-3.4045112761446499E-2</v>
      </c>
      <c r="C53" s="212">
        <v>-3.0548136425621302E-2</v>
      </c>
      <c r="D53" s="212">
        <v>4.1935600706719781E-4</v>
      </c>
      <c r="E53" s="212">
        <v>0.14710607045580876</v>
      </c>
      <c r="F53" s="213">
        <v>2.5428020413785946E-2</v>
      </c>
    </row>
    <row r="54" spans="2:7" x14ac:dyDescent="0.2">
      <c r="B54" s="211">
        <v>4.0350147819702621E-2</v>
      </c>
      <c r="C54" s="212">
        <v>-2.9654002964925649E-2</v>
      </c>
      <c r="D54" s="212">
        <v>0.1098889369875538</v>
      </c>
      <c r="E54" s="212">
        <v>9.1735397971392518E-3</v>
      </c>
      <c r="F54" s="213">
        <v>-1.1262061686913172E-2</v>
      </c>
    </row>
    <row r="55" spans="2:7" x14ac:dyDescent="0.2">
      <c r="B55" s="211">
        <v>-6.9673988453211062E-3</v>
      </c>
      <c r="C55" s="212">
        <v>-2.5852979396615135E-2</v>
      </c>
      <c r="D55" s="212">
        <v>-7.5271691542287827E-3</v>
      </c>
      <c r="E55" s="212">
        <v>4.5552591912976635E-2</v>
      </c>
      <c r="F55" s="213">
        <v>3.5792730167435657E-2</v>
      </c>
    </row>
    <row r="56" spans="2:7" x14ac:dyDescent="0.2">
      <c r="B56" s="211">
        <v>0.20098399976889475</v>
      </c>
      <c r="C56" s="212">
        <v>4.7538659829397256E-2</v>
      </c>
      <c r="D56" s="212">
        <v>5.7810503541543004E-2</v>
      </c>
      <c r="E56" s="212">
        <v>8.8649381439983049E-2</v>
      </c>
      <c r="F56" s="213">
        <v>9.7102685807219424E-2</v>
      </c>
    </row>
    <row r="57" spans="2:7" x14ac:dyDescent="0.2">
      <c r="B57" s="211">
        <v>-1.46236271761699E-2</v>
      </c>
      <c r="C57" s="212">
        <v>-0.12245672048545632</v>
      </c>
      <c r="D57" s="212">
        <v>-9.4576498197914458E-2</v>
      </c>
      <c r="E57" s="212">
        <v>5.576230128205132E-2</v>
      </c>
      <c r="F57" s="213">
        <v>-2.845294743666588E-2</v>
      </c>
    </row>
    <row r="58" spans="2:7" x14ac:dyDescent="0.2">
      <c r="B58" s="211">
        <v>-4.9069527410207987E-2</v>
      </c>
      <c r="C58" s="212">
        <v>-6.128404558596115E-2</v>
      </c>
      <c r="D58" s="212">
        <v>-5.5080556621880924E-2</v>
      </c>
      <c r="E58" s="212">
        <v>4.5289872611464992E-2</v>
      </c>
      <c r="F58" s="213">
        <v>-4.082961641391613E-2</v>
      </c>
    </row>
    <row r="59" spans="2:7" x14ac:dyDescent="0.2">
      <c r="B59" s="211">
        <v>2.6456443780870347E-2</v>
      </c>
      <c r="C59" s="212">
        <v>3.5670273157538873E-2</v>
      </c>
      <c r="D59" s="212">
        <v>-6.7759026817134464E-3</v>
      </c>
      <c r="E59" s="212">
        <v>5.8438736514182688E-2</v>
      </c>
      <c r="F59" s="213">
        <v>6.5477057746313919E-2</v>
      </c>
    </row>
    <row r="60" spans="2:7" x14ac:dyDescent="0.2">
      <c r="B60" s="211">
        <v>-8.5911242003976249E-2</v>
      </c>
      <c r="C60" s="212">
        <v>6.2832656274664583E-2</v>
      </c>
      <c r="D60" s="212">
        <v>5.0753755185721144E-2</v>
      </c>
      <c r="E60" s="212">
        <v>5.4895506546685562E-2</v>
      </c>
      <c r="F60" s="213">
        <v>5.2223703196458686E-2</v>
      </c>
    </row>
    <row r="61" spans="2:7" x14ac:dyDescent="0.2">
      <c r="B61" s="211">
        <v>-5.1920449653240996E-2</v>
      </c>
      <c r="C61" s="212">
        <v>6.3343060314561845E-3</v>
      </c>
      <c r="D61" s="212">
        <v>0.12814724428026703</v>
      </c>
      <c r="E61" s="212">
        <v>4.9808981225296478E-2</v>
      </c>
      <c r="F61" s="213">
        <v>1.8056375371336236E-2</v>
      </c>
    </row>
    <row r="62" spans="2:7" x14ac:dyDescent="0.2">
      <c r="B62" s="214">
        <v>5.037656417021967E-3</v>
      </c>
      <c r="C62" s="215">
        <v>2.0383768476621475E-2</v>
      </c>
      <c r="D62" s="215">
        <v>0.12790255616338436</v>
      </c>
      <c r="E62" s="215">
        <v>2.2098304350842136E-2</v>
      </c>
      <c r="F62" s="216">
        <v>4.3320161218798385E-2</v>
      </c>
    </row>
    <row r="63" spans="2:7" x14ac:dyDescent="0.2">
      <c r="B63" s="10"/>
      <c r="C63" s="10"/>
      <c r="F63" s="58">
        <f>_xlfn.STDEV.P(F4:F62)</f>
        <v>4.6269924690956761E-2</v>
      </c>
      <c r="G63" t="s">
        <v>15</v>
      </c>
    </row>
    <row r="64" spans="2:7" x14ac:dyDescent="0.2">
      <c r="F64" s="58">
        <f>F63*F63</f>
        <v>2.1409059309068102E-3</v>
      </c>
      <c r="G64" t="s">
        <v>473</v>
      </c>
    </row>
  </sheetData>
  <mergeCells count="5">
    <mergeCell ref="H2:M2"/>
    <mergeCell ref="H10:M10"/>
    <mergeCell ref="B2:F2"/>
    <mergeCell ref="L19:M19"/>
    <mergeCell ref="H19:J19"/>
  </mergeCells>
  <conditionalFormatting sqref="I4:M8">
    <cfRule type="colorScale" priority="3">
      <colorScale>
        <cfvo type="min"/>
        <cfvo type="max"/>
        <color theme="0"/>
        <color theme="3" tint="0.39997558519241921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I12:M16">
    <cfRule type="colorScale" priority="1">
      <colorScale>
        <cfvo type="min"/>
        <cfvo type="max"/>
        <color theme="0"/>
        <color theme="4"/>
      </colorScale>
    </cfRule>
    <cfRule type="colorScale" priority="2">
      <colorScale>
        <cfvo type="min"/>
        <cfvo type="max"/>
        <color theme="0"/>
        <color theme="4" tint="0.39997558519241921"/>
      </colorScale>
    </cfRule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5A28-09E6-7240-8478-4ED2A7AC8E1F}">
  <dimension ref="B3:R51"/>
  <sheetViews>
    <sheetView showGridLines="0" workbookViewId="0">
      <selection activeCell="C5" sqref="C5"/>
    </sheetView>
  </sheetViews>
  <sheetFormatPr baseColWidth="10" defaultColWidth="11.5" defaultRowHeight="15" x14ac:dyDescent="0.2"/>
  <cols>
    <col min="2" max="2" width="17.33203125" customWidth="1"/>
    <col min="3" max="3" width="11.5" bestFit="1" customWidth="1"/>
    <col min="4" max="4" width="15.1640625" bestFit="1" customWidth="1"/>
    <col min="5" max="5" width="11.33203125" bestFit="1" customWidth="1"/>
    <col min="6" max="6" width="10" bestFit="1" customWidth="1"/>
    <col min="7" max="7" width="14" customWidth="1"/>
    <col min="8" max="8" width="17.83203125" bestFit="1" customWidth="1"/>
    <col min="14" max="14" width="17.83203125" bestFit="1" customWidth="1"/>
  </cols>
  <sheetData>
    <row r="3" spans="2:18" x14ac:dyDescent="0.2">
      <c r="B3" s="249" t="s">
        <v>469</v>
      </c>
      <c r="C3" s="250"/>
      <c r="D3" s="250"/>
      <c r="E3" s="250"/>
      <c r="F3" s="251"/>
      <c r="H3" s="252" t="s">
        <v>470</v>
      </c>
      <c r="I3" s="253"/>
      <c r="J3" s="253"/>
      <c r="K3" s="253"/>
      <c r="L3" s="254"/>
      <c r="N3" s="255" t="s">
        <v>471</v>
      </c>
      <c r="O3" s="256"/>
      <c r="P3" s="256"/>
      <c r="Q3" s="256"/>
      <c r="R3" s="257"/>
    </row>
    <row r="4" spans="2:18" x14ac:dyDescent="0.2">
      <c r="B4" s="44" t="s">
        <v>150</v>
      </c>
      <c r="F4" s="100"/>
      <c r="H4" s="44" t="s">
        <v>150</v>
      </c>
      <c r="L4" s="100"/>
      <c r="N4" s="44" t="s">
        <v>150</v>
      </c>
      <c r="R4" s="100"/>
    </row>
    <row r="5" spans="2:18" x14ac:dyDescent="0.2">
      <c r="B5" s="112" t="s">
        <v>432</v>
      </c>
      <c r="C5" s="113">
        <f>'CAPM and WACC'!B5</f>
        <v>8.2102732525225652E-2</v>
      </c>
      <c r="F5" s="100"/>
      <c r="H5" s="112" t="s">
        <v>432</v>
      </c>
      <c r="I5" s="113">
        <f>'CAPM and WACC'!B5</f>
        <v>8.2102732525225652E-2</v>
      </c>
      <c r="L5" s="100"/>
      <c r="N5" s="112" t="s">
        <v>432</v>
      </c>
      <c r="O5" s="113">
        <f>'CAPM and WACC'!B5</f>
        <v>8.2102732525225652E-2</v>
      </c>
      <c r="R5" s="100"/>
    </row>
    <row r="6" spans="2:18" x14ac:dyDescent="0.2">
      <c r="B6" s="69" t="s">
        <v>467</v>
      </c>
      <c r="C6" s="114">
        <v>0.14000000000000001</v>
      </c>
      <c r="F6" s="100"/>
      <c r="H6" s="69" t="s">
        <v>467</v>
      </c>
      <c r="I6" s="162">
        <v>0.16</v>
      </c>
      <c r="L6" s="100"/>
      <c r="N6" s="69" t="s">
        <v>467</v>
      </c>
      <c r="O6" s="163">
        <v>0.12</v>
      </c>
      <c r="R6" s="100"/>
    </row>
    <row r="7" spans="2:18" x14ac:dyDescent="0.2">
      <c r="B7" s="69" t="s">
        <v>468</v>
      </c>
      <c r="C7" s="114">
        <v>0.08</v>
      </c>
      <c r="F7" s="100"/>
      <c r="H7" s="69" t="s">
        <v>468</v>
      </c>
      <c r="I7" s="162">
        <v>0.1</v>
      </c>
      <c r="L7" s="100"/>
      <c r="N7" s="69" t="s">
        <v>468</v>
      </c>
      <c r="O7" s="163">
        <v>7.0000000000000007E-2</v>
      </c>
      <c r="R7" s="100"/>
    </row>
    <row r="8" spans="2:18" x14ac:dyDescent="0.2">
      <c r="B8" s="92" t="s">
        <v>466</v>
      </c>
      <c r="C8" s="115">
        <v>0.03</v>
      </c>
      <c r="F8" s="100"/>
      <c r="H8" s="92" t="s">
        <v>466</v>
      </c>
      <c r="I8" s="150">
        <v>0.03</v>
      </c>
      <c r="L8" s="100"/>
      <c r="N8" s="92" t="s">
        <v>466</v>
      </c>
      <c r="O8" s="161">
        <v>0.03</v>
      </c>
      <c r="R8" s="100"/>
    </row>
    <row r="9" spans="2:18" x14ac:dyDescent="0.2">
      <c r="B9" s="69"/>
      <c r="F9" s="100"/>
      <c r="H9" s="69"/>
      <c r="L9" s="100"/>
      <c r="N9" s="69"/>
      <c r="R9" s="100"/>
    </row>
    <row r="10" spans="2:18" x14ac:dyDescent="0.2">
      <c r="B10" s="69"/>
      <c r="F10" s="100"/>
      <c r="H10" s="69"/>
      <c r="L10" s="100"/>
      <c r="N10" s="69"/>
      <c r="R10" s="100"/>
    </row>
    <row r="11" spans="2:18" x14ac:dyDescent="0.2">
      <c r="B11" s="137" t="s">
        <v>452</v>
      </c>
      <c r="C11" s="137" t="s">
        <v>104</v>
      </c>
      <c r="D11" s="137" t="s">
        <v>431</v>
      </c>
      <c r="E11" s="137" t="s">
        <v>465</v>
      </c>
      <c r="F11" s="137" t="s">
        <v>430</v>
      </c>
      <c r="H11" s="220" t="s">
        <v>452</v>
      </c>
      <c r="I11" s="220" t="s">
        <v>104</v>
      </c>
      <c r="J11" s="221" t="s">
        <v>431</v>
      </c>
      <c r="K11" s="221" t="s">
        <v>465</v>
      </c>
      <c r="L11" s="222" t="s">
        <v>430</v>
      </c>
      <c r="N11" s="158" t="s">
        <v>452</v>
      </c>
      <c r="O11" s="158" t="s">
        <v>104</v>
      </c>
      <c r="P11" s="158" t="s">
        <v>431</v>
      </c>
      <c r="Q11" s="158" t="s">
        <v>465</v>
      </c>
      <c r="R11" s="158" t="s">
        <v>430</v>
      </c>
    </row>
    <row r="12" spans="2:18" x14ac:dyDescent="0.2">
      <c r="B12" s="69">
        <v>-4</v>
      </c>
      <c r="C12" s="223">
        <v>2020</v>
      </c>
      <c r="D12" s="233">
        <v>0.64</v>
      </c>
      <c r="E12" s="224"/>
      <c r="F12" s="225"/>
      <c r="H12" s="69">
        <v>-4</v>
      </c>
      <c r="I12" s="69">
        <v>2020</v>
      </c>
      <c r="J12">
        <v>0.64</v>
      </c>
      <c r="K12" s="102"/>
      <c r="L12" s="100"/>
      <c r="N12" s="69">
        <v>-4</v>
      </c>
      <c r="O12" s="69">
        <v>2020</v>
      </c>
      <c r="P12">
        <v>0.64</v>
      </c>
      <c r="Q12" s="224"/>
      <c r="R12" s="100"/>
    </row>
    <row r="13" spans="2:18" x14ac:dyDescent="0.2">
      <c r="B13" s="69">
        <v>-3</v>
      </c>
      <c r="C13" s="223">
        <v>2021</v>
      </c>
      <c r="D13" s="233">
        <v>0.72</v>
      </c>
      <c r="E13" s="224">
        <f>(D13-D12)/D12</f>
        <v>0.12499999999999993</v>
      </c>
      <c r="F13" s="225"/>
      <c r="H13" s="69">
        <v>-3</v>
      </c>
      <c r="I13" s="69">
        <v>2021</v>
      </c>
      <c r="J13">
        <v>0.72</v>
      </c>
      <c r="K13" s="102">
        <f>(J13-J12)/J12</f>
        <v>0.12499999999999993</v>
      </c>
      <c r="L13" s="100"/>
      <c r="N13" s="69">
        <v>-3</v>
      </c>
      <c r="O13" s="69">
        <v>2021</v>
      </c>
      <c r="P13">
        <v>0.72</v>
      </c>
      <c r="Q13" s="224">
        <f>(P13-P12)/P12</f>
        <v>0.12499999999999993</v>
      </c>
      <c r="R13" s="100"/>
    </row>
    <row r="14" spans="2:18" x14ac:dyDescent="0.2">
      <c r="B14" s="69">
        <v>-2</v>
      </c>
      <c r="C14" s="223">
        <v>2022</v>
      </c>
      <c r="D14" s="233">
        <v>0.88</v>
      </c>
      <c r="E14" s="224">
        <f>(D14-D13)/D13</f>
        <v>0.22222222222222227</v>
      </c>
      <c r="F14" s="225"/>
      <c r="H14" s="69">
        <v>-2</v>
      </c>
      <c r="I14" s="69">
        <v>2022</v>
      </c>
      <c r="J14">
        <v>0.88</v>
      </c>
      <c r="K14" s="102">
        <f>(J14-J13)/J13</f>
        <v>0.22222222222222227</v>
      </c>
      <c r="L14" s="100"/>
      <c r="N14" s="69">
        <v>-2</v>
      </c>
      <c r="O14" s="69">
        <v>2022</v>
      </c>
      <c r="P14">
        <v>0.88</v>
      </c>
      <c r="Q14" s="224">
        <f>(P14-P13)/P13</f>
        <v>0.22222222222222227</v>
      </c>
      <c r="R14" s="100"/>
    </row>
    <row r="15" spans="2:18" x14ac:dyDescent="0.2">
      <c r="B15" s="69">
        <v>-1</v>
      </c>
      <c r="C15" s="223">
        <v>2023</v>
      </c>
      <c r="D15" s="237">
        <v>1</v>
      </c>
      <c r="E15" s="224">
        <f>(D15-D14)/D14</f>
        <v>0.13636363636363635</v>
      </c>
      <c r="F15" s="225"/>
      <c r="H15" s="69">
        <v>-1</v>
      </c>
      <c r="I15" s="69">
        <v>2023</v>
      </c>
      <c r="J15" s="64">
        <v>1</v>
      </c>
      <c r="K15" s="102">
        <f>(J15-J14)/J14</f>
        <v>0.13636363636363635</v>
      </c>
      <c r="L15" s="100"/>
      <c r="N15" s="69">
        <v>-1</v>
      </c>
      <c r="O15" s="69">
        <v>2023</v>
      </c>
      <c r="P15" s="64">
        <v>1</v>
      </c>
      <c r="Q15" s="224">
        <f>(P15-P14)/P14</f>
        <v>0.13636363636363635</v>
      </c>
      <c r="R15" s="100"/>
    </row>
    <row r="16" spans="2:18" x14ac:dyDescent="0.2">
      <c r="B16" s="92">
        <v>0</v>
      </c>
      <c r="C16" s="226">
        <v>2024</v>
      </c>
      <c r="D16" s="234">
        <v>1.08</v>
      </c>
      <c r="E16" s="227">
        <f>(D16-D15)/D15</f>
        <v>8.0000000000000071E-2</v>
      </c>
      <c r="F16" s="228"/>
      <c r="H16" s="92">
        <v>0</v>
      </c>
      <c r="I16" s="92">
        <v>2024</v>
      </c>
      <c r="J16" s="67">
        <v>1.08</v>
      </c>
      <c r="K16" s="91">
        <f>(J16-J15)/J15</f>
        <v>8.0000000000000071E-2</v>
      </c>
      <c r="L16" s="103"/>
      <c r="N16" s="92">
        <v>0</v>
      </c>
      <c r="O16" s="92">
        <v>2024</v>
      </c>
      <c r="P16" s="67">
        <v>1.08</v>
      </c>
      <c r="Q16" s="227">
        <f>(P16-P15)/P15</f>
        <v>8.0000000000000071E-2</v>
      </c>
      <c r="R16" s="103"/>
    </row>
    <row r="17" spans="2:18" x14ac:dyDescent="0.2">
      <c r="B17" s="69">
        <v>1</v>
      </c>
      <c r="C17" s="223">
        <v>2025</v>
      </c>
      <c r="D17" s="235">
        <f>D16*(1+E17)</f>
        <v>1.2321681818181818</v>
      </c>
      <c r="E17" s="224">
        <f>AVERAGE($E$12:$E$16)</f>
        <v>0.14089646464646466</v>
      </c>
      <c r="F17" s="229">
        <f t="shared" ref="F17:F26" si="0">D17/((1+$C$5)^B17)</f>
        <v>1.138679484657394</v>
      </c>
      <c r="H17" s="69">
        <v>1</v>
      </c>
      <c r="I17" s="69">
        <v>2025</v>
      </c>
      <c r="J17" s="76">
        <f t="shared" ref="J17:J26" si="1">J16*(1+K17)</f>
        <v>1.2527999999999999</v>
      </c>
      <c r="K17" s="102">
        <f>$I$6</f>
        <v>0.16</v>
      </c>
      <c r="L17" s="104">
        <f t="shared" ref="L17:L26" si="2">J17/((1+$C$5)^H17)</f>
        <v>1.1577458981888256</v>
      </c>
      <c r="N17" s="69">
        <v>1</v>
      </c>
      <c r="O17" s="69">
        <v>2025</v>
      </c>
      <c r="P17" s="76">
        <f t="shared" ref="P17:P26" si="3">P16*(1+Q17)</f>
        <v>1.2096000000000002</v>
      </c>
      <c r="Q17" s="224">
        <v>0.12</v>
      </c>
      <c r="R17" s="229">
        <f t="shared" ref="R17:R26" si="4">P17/((1+$C$5)^N17)</f>
        <v>1.117823625837487</v>
      </c>
    </row>
    <row r="18" spans="2:18" x14ac:dyDescent="0.2">
      <c r="B18" s="69">
        <v>2</v>
      </c>
      <c r="C18" s="223">
        <v>2026</v>
      </c>
      <c r="D18" s="235">
        <f t="shared" ref="D18:D25" si="5">D17*(1+E18)</f>
        <v>1.4057763224862256</v>
      </c>
      <c r="E18" s="224">
        <f t="shared" ref="E18:E19" si="6">AVERAGE($E$12:$E$16)</f>
        <v>0.14089646464646466</v>
      </c>
      <c r="F18" s="229">
        <f t="shared" si="0"/>
        <v>1.2005471933144702</v>
      </c>
      <c r="H18" s="69">
        <v>2</v>
      </c>
      <c r="I18" s="69">
        <v>2026</v>
      </c>
      <c r="J18" s="76">
        <f t="shared" si="1"/>
        <v>1.4532479999999999</v>
      </c>
      <c r="K18" s="102">
        <f>$I$6</f>
        <v>0.16</v>
      </c>
      <c r="L18" s="104">
        <f t="shared" si="2"/>
        <v>1.2410884859009728</v>
      </c>
      <c r="N18" s="69">
        <v>2</v>
      </c>
      <c r="O18" s="69">
        <v>2026</v>
      </c>
      <c r="P18" s="76">
        <f t="shared" si="3"/>
        <v>1.3547520000000004</v>
      </c>
      <c r="Q18" s="224">
        <v>0.12</v>
      </c>
      <c r="R18" s="229">
        <f t="shared" si="4"/>
        <v>1.1569719060004315</v>
      </c>
    </row>
    <row r="19" spans="2:18" x14ac:dyDescent="0.2">
      <c r="B19" s="69">
        <v>3</v>
      </c>
      <c r="C19" s="223">
        <v>2027</v>
      </c>
      <c r="D19" s="235">
        <f t="shared" si="5"/>
        <v>1.6038452364082432</v>
      </c>
      <c r="E19" s="224">
        <f t="shared" si="6"/>
        <v>0.14089646464646466</v>
      </c>
      <c r="F19" s="229">
        <f t="shared" si="0"/>
        <v>1.265776351287224</v>
      </c>
      <c r="H19" s="69">
        <v>3</v>
      </c>
      <c r="I19" s="69">
        <v>2027</v>
      </c>
      <c r="J19" s="76">
        <f t="shared" si="1"/>
        <v>1.6857676799999997</v>
      </c>
      <c r="K19" s="102">
        <f t="shared" ref="K19:K22" si="7">$I$6</f>
        <v>0.16</v>
      </c>
      <c r="L19" s="104">
        <f t="shared" si="2"/>
        <v>1.3304306517048436</v>
      </c>
      <c r="N19" s="69">
        <v>3</v>
      </c>
      <c r="O19" s="69">
        <v>2027</v>
      </c>
      <c r="P19" s="76">
        <f t="shared" si="3"/>
        <v>1.5173222400000006</v>
      </c>
      <c r="Q19" s="224">
        <v>0.12</v>
      </c>
      <c r="R19" s="229">
        <f t="shared" si="4"/>
        <v>1.1974912323680653</v>
      </c>
    </row>
    <row r="20" spans="2:18" x14ac:dyDescent="0.2">
      <c r="B20" s="69">
        <v>4</v>
      </c>
      <c r="C20" s="223">
        <v>2028</v>
      </c>
      <c r="D20" s="235">
        <f t="shared" si="5"/>
        <v>1.8298213600582378</v>
      </c>
      <c r="E20" s="224">
        <f>AVERAGE($E$12:$E$16)</f>
        <v>0.14089646464646466</v>
      </c>
      <c r="F20" s="229">
        <f t="shared" si="0"/>
        <v>1.3345495957178262</v>
      </c>
      <c r="H20" s="69">
        <v>4</v>
      </c>
      <c r="I20" s="69">
        <v>2028</v>
      </c>
      <c r="J20" s="76">
        <f t="shared" si="1"/>
        <v>1.9554905087999994</v>
      </c>
      <c r="K20" s="102">
        <f t="shared" si="7"/>
        <v>0.16</v>
      </c>
      <c r="L20" s="104">
        <f t="shared" si="2"/>
        <v>1.4262042868851561</v>
      </c>
      <c r="N20" s="69">
        <v>4</v>
      </c>
      <c r="O20" s="69">
        <v>2028</v>
      </c>
      <c r="P20" s="76">
        <f t="shared" si="3"/>
        <v>1.6994009088000008</v>
      </c>
      <c r="Q20" s="224">
        <v>0.12</v>
      </c>
      <c r="R20" s="229">
        <f t="shared" si="4"/>
        <v>1.2394296215502512</v>
      </c>
    </row>
    <row r="21" spans="2:18" x14ac:dyDescent="0.2">
      <c r="B21" s="69">
        <v>5</v>
      </c>
      <c r="C21" s="223">
        <v>2029</v>
      </c>
      <c r="D21" s="235">
        <f t="shared" si="5"/>
        <v>2.0859963504663912</v>
      </c>
      <c r="E21" s="224">
        <v>0.14000000000000001</v>
      </c>
      <c r="F21" s="229">
        <f t="shared" si="0"/>
        <v>1.405953883480149</v>
      </c>
      <c r="H21" s="69">
        <v>5</v>
      </c>
      <c r="I21" s="69">
        <v>2029</v>
      </c>
      <c r="J21" s="76">
        <f t="shared" si="1"/>
        <v>2.2683689902079993</v>
      </c>
      <c r="K21" s="102">
        <f t="shared" si="7"/>
        <v>0.16</v>
      </c>
      <c r="L21" s="104">
        <f t="shared" si="2"/>
        <v>1.5288723732598228</v>
      </c>
      <c r="N21" s="69">
        <v>5</v>
      </c>
      <c r="O21" s="69">
        <v>2029</v>
      </c>
      <c r="P21" s="76">
        <f t="shared" si="3"/>
        <v>1.818358972416001</v>
      </c>
      <c r="Q21" s="224">
        <v>7.0000000000000007E-2</v>
      </c>
      <c r="R21" s="229">
        <f t="shared" si="4"/>
        <v>1.2255672730480358</v>
      </c>
    </row>
    <row r="22" spans="2:18" x14ac:dyDescent="0.2">
      <c r="B22" s="69">
        <v>6</v>
      </c>
      <c r="C22" s="223">
        <v>2030</v>
      </c>
      <c r="D22" s="235">
        <f t="shared" si="5"/>
        <v>2.3780358395316861</v>
      </c>
      <c r="E22" s="224">
        <v>0.14000000000000001</v>
      </c>
      <c r="F22" s="229">
        <f t="shared" si="0"/>
        <v>1.4811786154786428</v>
      </c>
      <c r="H22" s="69">
        <v>6</v>
      </c>
      <c r="I22" s="69">
        <v>2030</v>
      </c>
      <c r="J22" s="76">
        <f t="shared" si="1"/>
        <v>2.6313080286412789</v>
      </c>
      <c r="K22" s="102">
        <f t="shared" si="7"/>
        <v>0.16</v>
      </c>
      <c r="L22" s="104">
        <f t="shared" si="2"/>
        <v>1.6389312212923841</v>
      </c>
      <c r="N22" s="69">
        <v>6</v>
      </c>
      <c r="O22" s="69">
        <v>2030</v>
      </c>
      <c r="P22" s="76">
        <f t="shared" si="3"/>
        <v>1.9456441004851213</v>
      </c>
      <c r="Q22" s="224">
        <v>7.0000000000000007E-2</v>
      </c>
      <c r="R22" s="229">
        <f t="shared" si="4"/>
        <v>1.2118599673999328</v>
      </c>
    </row>
    <row r="23" spans="2:18" x14ac:dyDescent="0.2">
      <c r="B23" s="69">
        <v>7</v>
      </c>
      <c r="C23" s="223">
        <v>2031</v>
      </c>
      <c r="D23" s="235">
        <f>D22*(1+E23)</f>
        <v>2.5682787066942212</v>
      </c>
      <c r="E23" s="224">
        <f>0.08</f>
        <v>0.08</v>
      </c>
      <c r="F23" s="229">
        <f t="shared" si="0"/>
        <v>1.4783004022029334</v>
      </c>
      <c r="H23" s="69">
        <v>7</v>
      </c>
      <c r="I23" s="69">
        <v>2031</v>
      </c>
      <c r="J23" s="76">
        <f t="shared" si="1"/>
        <v>2.8944388315054068</v>
      </c>
      <c r="K23" s="102">
        <v>0.1</v>
      </c>
      <c r="L23" s="104">
        <f t="shared" si="2"/>
        <v>1.6660380657338332</v>
      </c>
      <c r="N23" s="69">
        <v>7</v>
      </c>
      <c r="O23" s="69">
        <v>2031</v>
      </c>
      <c r="P23" s="76">
        <f t="shared" si="3"/>
        <v>2.0818391875190798</v>
      </c>
      <c r="Q23" s="224">
        <v>7.0000000000000007E-2</v>
      </c>
      <c r="R23" s="229">
        <f t="shared" si="4"/>
        <v>1.198305970535658</v>
      </c>
    </row>
    <row r="24" spans="2:18" x14ac:dyDescent="0.2">
      <c r="B24" s="69">
        <v>8</v>
      </c>
      <c r="C24" s="223">
        <v>2032</v>
      </c>
      <c r="D24" s="235">
        <f t="shared" si="5"/>
        <v>2.7737410032297589</v>
      </c>
      <c r="E24" s="230">
        <v>0.08</v>
      </c>
      <c r="F24" s="229">
        <f t="shared" si="0"/>
        <v>1.4754277818459802</v>
      </c>
      <c r="H24" s="69">
        <v>8</v>
      </c>
      <c r="I24" s="69">
        <v>2032</v>
      </c>
      <c r="J24" s="76">
        <f t="shared" si="1"/>
        <v>3.1838827146559479</v>
      </c>
      <c r="K24" s="105">
        <v>0.1</v>
      </c>
      <c r="L24" s="104">
        <f t="shared" si="2"/>
        <v>1.6935932395536155</v>
      </c>
      <c r="N24" s="69">
        <v>8</v>
      </c>
      <c r="O24" s="69">
        <v>2032</v>
      </c>
      <c r="P24" s="76">
        <f t="shared" si="3"/>
        <v>2.2275679306454155</v>
      </c>
      <c r="Q24" s="230">
        <v>7.0000000000000007E-2</v>
      </c>
      <c r="R24" s="229">
        <f t="shared" si="4"/>
        <v>1.184903567779563</v>
      </c>
    </row>
    <row r="25" spans="2:18" x14ac:dyDescent="0.2">
      <c r="B25" s="69">
        <v>9</v>
      </c>
      <c r="C25" s="223">
        <v>2033</v>
      </c>
      <c r="D25" s="235">
        <f t="shared" si="5"/>
        <v>2.9956402834881399</v>
      </c>
      <c r="E25" s="230">
        <v>0.08</v>
      </c>
      <c r="F25" s="229">
        <f t="shared" si="0"/>
        <v>1.4725607435396735</v>
      </c>
      <c r="H25" s="69">
        <v>9</v>
      </c>
      <c r="I25" s="69">
        <v>2033</v>
      </c>
      <c r="J25" s="76">
        <f t="shared" si="1"/>
        <v>3.5022709861215429</v>
      </c>
      <c r="K25" s="105">
        <v>0.1</v>
      </c>
      <c r="L25" s="104">
        <f t="shared" si="2"/>
        <v>1.7216041578247734</v>
      </c>
      <c r="N25" s="69">
        <v>9</v>
      </c>
      <c r="O25" s="69">
        <v>2033</v>
      </c>
      <c r="P25" s="76">
        <f t="shared" si="3"/>
        <v>2.2943949685647782</v>
      </c>
      <c r="Q25" s="230">
        <v>0.03</v>
      </c>
      <c r="R25" s="229">
        <f t="shared" si="4"/>
        <v>1.127851023871709</v>
      </c>
    </row>
    <row r="26" spans="2:18" x14ac:dyDescent="0.2">
      <c r="B26" s="92">
        <v>10</v>
      </c>
      <c r="C26" s="226">
        <v>2034</v>
      </c>
      <c r="D26" s="236">
        <f>D25*(1+E26)</f>
        <v>3.0855094919927843</v>
      </c>
      <c r="E26" s="231">
        <v>0.03</v>
      </c>
      <c r="F26" s="232">
        <f t="shared" si="0"/>
        <v>1.4016576432686403</v>
      </c>
      <c r="H26" s="92">
        <v>10</v>
      </c>
      <c r="I26" s="92">
        <v>2034</v>
      </c>
      <c r="J26" s="98">
        <f t="shared" si="1"/>
        <v>3.6073391157051891</v>
      </c>
      <c r="K26" s="116">
        <v>0.03</v>
      </c>
      <c r="L26" s="117">
        <f t="shared" si="2"/>
        <v>1.6387097354623663</v>
      </c>
      <c r="N26" s="92">
        <v>10</v>
      </c>
      <c r="O26" s="92">
        <v>2034</v>
      </c>
      <c r="P26" s="98">
        <f t="shared" si="3"/>
        <v>2.3632268176217215</v>
      </c>
      <c r="Q26" s="231">
        <v>0.03</v>
      </c>
      <c r="R26" s="232">
        <f t="shared" si="4"/>
        <v>1.0735455328505783</v>
      </c>
    </row>
    <row r="27" spans="2:18" x14ac:dyDescent="0.2">
      <c r="B27" s="69"/>
      <c r="F27" s="104"/>
      <c r="G27" s="84"/>
      <c r="H27" s="69"/>
      <c r="L27" s="104"/>
      <c r="N27" s="69"/>
      <c r="R27" s="104"/>
    </row>
    <row r="28" spans="2:18" x14ac:dyDescent="0.2">
      <c r="B28" s="69"/>
      <c r="F28" s="100"/>
      <c r="H28" s="69"/>
      <c r="L28" s="100"/>
      <c r="N28" s="69"/>
      <c r="R28" s="100"/>
    </row>
    <row r="29" spans="2:18" x14ac:dyDescent="0.2">
      <c r="B29" s="69" t="s">
        <v>446</v>
      </c>
      <c r="C29" s="84">
        <f>SUM(F17:F26)</f>
        <v>13.654631694792934</v>
      </c>
      <c r="F29" s="100"/>
      <c r="H29" s="69" t="s">
        <v>446</v>
      </c>
      <c r="I29" s="84">
        <f>SUM(L17:L26)</f>
        <v>15.043218115806594</v>
      </c>
      <c r="L29" s="100"/>
      <c r="N29" s="69" t="s">
        <v>446</v>
      </c>
      <c r="O29" s="84">
        <f>SUM(R17:R26)</f>
        <v>11.733749721241713</v>
      </c>
      <c r="R29" s="100"/>
    </row>
    <row r="30" spans="2:18" x14ac:dyDescent="0.2">
      <c r="B30" s="69" t="s">
        <v>447</v>
      </c>
      <c r="C30" s="84">
        <f>-PV(C5,10,0,(D26*(1+C8)/(C5-C8)))</f>
        <v>27.708860986661794</v>
      </c>
      <c r="F30" s="100"/>
      <c r="H30" s="69" t="s">
        <v>447</v>
      </c>
      <c r="I30" s="84">
        <f>-PV(I5,10,0,(J26*(1+I8)/(I5-I8)))</f>
        <v>32.39505772003514</v>
      </c>
      <c r="L30" s="100"/>
      <c r="N30" s="69" t="s">
        <v>447</v>
      </c>
      <c r="O30" s="84">
        <f>-PV(O5,10,0,(P26*(1+O8)/(O5-O8)))</f>
        <v>21.222531818283109</v>
      </c>
      <c r="R30" s="100"/>
    </row>
    <row r="31" spans="2:18" x14ac:dyDescent="0.2">
      <c r="B31" s="106" t="s">
        <v>449</v>
      </c>
      <c r="C31" s="95">
        <f>SUM(C29:C30)</f>
        <v>41.36349268145473</v>
      </c>
      <c r="F31" s="100"/>
      <c r="H31" s="106" t="s">
        <v>449</v>
      </c>
      <c r="I31" s="95">
        <f>SUM(I29:I30)</f>
        <v>47.438275835841736</v>
      </c>
      <c r="L31" s="100"/>
      <c r="N31" s="106" t="s">
        <v>449</v>
      </c>
      <c r="O31" s="95">
        <f>SUM(O29:O30)</f>
        <v>32.956281539524824</v>
      </c>
      <c r="R31" s="100"/>
    </row>
    <row r="32" spans="2:18" x14ac:dyDescent="0.2">
      <c r="B32" s="69"/>
      <c r="E32" s="101"/>
      <c r="F32" s="100"/>
      <c r="H32" s="69"/>
      <c r="K32" s="101"/>
      <c r="L32" s="100"/>
      <c r="N32" s="69"/>
      <c r="Q32" s="101"/>
      <c r="R32" s="100"/>
    </row>
    <row r="33" spans="2:18" x14ac:dyDescent="0.2">
      <c r="B33" s="69" t="s">
        <v>461</v>
      </c>
      <c r="C33">
        <v>67.05</v>
      </c>
      <c r="E33" s="101"/>
      <c r="F33" s="100"/>
      <c r="H33" s="69" t="s">
        <v>461</v>
      </c>
      <c r="I33">
        <v>67.05</v>
      </c>
      <c r="K33" s="101"/>
      <c r="L33" s="100"/>
      <c r="N33" s="69" t="s">
        <v>461</v>
      </c>
      <c r="O33">
        <v>67.05</v>
      </c>
      <c r="Q33" s="101"/>
      <c r="R33" s="100"/>
    </row>
    <row r="34" spans="2:18" x14ac:dyDescent="0.2">
      <c r="B34" s="107" t="s">
        <v>460</v>
      </c>
      <c r="C34" s="108">
        <f>(C31-C33)/C33</f>
        <v>-0.38309481459426203</v>
      </c>
      <c r="D34" s="109" t="s">
        <v>464</v>
      </c>
      <c r="E34" s="110"/>
      <c r="F34" s="103"/>
      <c r="H34" s="107" t="s">
        <v>460</v>
      </c>
      <c r="I34" s="108">
        <f>(I31-I33)/I33</f>
        <v>-0.29249402183681228</v>
      </c>
      <c r="J34" s="109" t="s">
        <v>464</v>
      </c>
      <c r="K34" s="110"/>
      <c r="L34" s="103"/>
      <c r="N34" s="107" t="s">
        <v>460</v>
      </c>
      <c r="O34" s="108">
        <f>(O31-O33)/O33</f>
        <v>-0.50848200537621435</v>
      </c>
      <c r="P34" s="109" t="s">
        <v>464</v>
      </c>
      <c r="Q34" s="110"/>
      <c r="R34" s="103"/>
    </row>
    <row r="35" spans="2:18" x14ac:dyDescent="0.2">
      <c r="E35" s="58"/>
    </row>
    <row r="36" spans="2:18" x14ac:dyDescent="0.2">
      <c r="D36" s="96"/>
      <c r="E36" s="58"/>
    </row>
    <row r="37" spans="2:18" x14ac:dyDescent="0.2">
      <c r="E37" s="58"/>
    </row>
    <row r="39" spans="2:18" x14ac:dyDescent="0.2">
      <c r="B39" s="3"/>
    </row>
    <row r="40" spans="2:18" x14ac:dyDescent="0.2">
      <c r="B40" s="3"/>
    </row>
    <row r="41" spans="2:18" x14ac:dyDescent="0.2">
      <c r="B41" s="3"/>
    </row>
    <row r="42" spans="2:18" x14ac:dyDescent="0.2">
      <c r="B42" s="3"/>
    </row>
    <row r="43" spans="2:18" x14ac:dyDescent="0.2">
      <c r="B43" s="3"/>
    </row>
    <row r="44" spans="2:18" x14ac:dyDescent="0.2">
      <c r="B44" s="3"/>
    </row>
    <row r="45" spans="2:18" x14ac:dyDescent="0.2">
      <c r="B45" s="3"/>
    </row>
    <row r="46" spans="2:18" x14ac:dyDescent="0.2">
      <c r="B46" s="3"/>
    </row>
    <row r="47" spans="2:18" x14ac:dyDescent="0.2">
      <c r="B47" s="3"/>
    </row>
    <row r="48" spans="2:18" x14ac:dyDescent="0.2">
      <c r="B48" s="3"/>
    </row>
    <row r="49" spans="2:2" x14ac:dyDescent="0.2">
      <c r="B49" s="3"/>
    </row>
    <row r="50" spans="2:2" x14ac:dyDescent="0.2">
      <c r="B50" s="3"/>
    </row>
    <row r="51" spans="2:2" x14ac:dyDescent="0.2">
      <c r="B51" s="3"/>
    </row>
  </sheetData>
  <mergeCells count="3">
    <mergeCell ref="B3:F3"/>
    <mergeCell ref="H3:L3"/>
    <mergeCell ref="N3:R3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8DCE-019C-4C4E-993C-49C486320E43}">
  <dimension ref="B2:XEY40"/>
  <sheetViews>
    <sheetView showGridLines="0" zoomScale="85" workbookViewId="0">
      <selection activeCell="M44" sqref="M44"/>
    </sheetView>
  </sheetViews>
  <sheetFormatPr baseColWidth="10" defaultColWidth="11.5" defaultRowHeight="15" x14ac:dyDescent="0.2"/>
  <cols>
    <col min="2" max="2" width="21.5" bestFit="1" customWidth="1"/>
    <col min="9" max="9" width="19.1640625" bestFit="1" customWidth="1"/>
    <col min="10" max="11" width="11.6640625" bestFit="1" customWidth="1"/>
    <col min="12" max="13" width="12.6640625" bestFit="1" customWidth="1"/>
    <col min="16" max="16" width="19.1640625" bestFit="1" customWidth="1"/>
  </cols>
  <sheetData>
    <row r="2" spans="2:21" x14ac:dyDescent="0.2">
      <c r="B2" s="243" t="s">
        <v>469</v>
      </c>
      <c r="C2" s="244"/>
      <c r="D2" s="244"/>
      <c r="E2" s="244"/>
      <c r="F2" s="244"/>
      <c r="G2" s="245"/>
      <c r="I2" s="261" t="s">
        <v>470</v>
      </c>
      <c r="J2" s="262"/>
      <c r="K2" s="262"/>
      <c r="L2" s="262"/>
      <c r="M2" s="262"/>
      <c r="N2" s="263"/>
      <c r="P2" s="258" t="s">
        <v>471</v>
      </c>
      <c r="Q2" s="259"/>
      <c r="R2" s="259"/>
      <c r="S2" s="259"/>
      <c r="T2" s="259"/>
      <c r="U2" s="260"/>
    </row>
    <row r="3" spans="2:21" x14ac:dyDescent="0.2">
      <c r="B3" s="44" t="s">
        <v>146</v>
      </c>
      <c r="G3" s="100"/>
      <c r="I3" s="44" t="s">
        <v>146</v>
      </c>
      <c r="N3" s="100"/>
      <c r="P3" s="44" t="s">
        <v>146</v>
      </c>
      <c r="U3" s="100"/>
    </row>
    <row r="4" spans="2:21" x14ac:dyDescent="0.2">
      <c r="B4" s="112" t="s">
        <v>147</v>
      </c>
      <c r="C4" s="118">
        <f>-AVERAGE('EBAY Income Statement'!$B$25:$G$25)</f>
        <v>0.22365735134384379</v>
      </c>
      <c r="D4" t="s">
        <v>479</v>
      </c>
      <c r="F4" s="4"/>
      <c r="G4" s="100"/>
      <c r="I4" s="112" t="s">
        <v>147</v>
      </c>
      <c r="J4" s="118">
        <f>-AVERAGE('EBAY Income Statement'!$B$25:$G$25)</f>
        <v>0.22365735134384379</v>
      </c>
      <c r="K4" t="s">
        <v>479</v>
      </c>
      <c r="M4" s="4"/>
      <c r="N4" s="100"/>
      <c r="P4" s="112" t="s">
        <v>147</v>
      </c>
      <c r="Q4" s="118">
        <f>-AVERAGE('EBAY Income Statement'!$B$25:$G$25)</f>
        <v>0.22365735134384379</v>
      </c>
      <c r="R4" t="s">
        <v>479</v>
      </c>
      <c r="T4" s="4"/>
      <c r="U4" s="100"/>
    </row>
    <row r="5" spans="2:21" x14ac:dyDescent="0.2">
      <c r="B5" s="69" t="s">
        <v>148</v>
      </c>
      <c r="C5" s="119">
        <v>7.4999999999999997E-2</v>
      </c>
      <c r="D5" t="s">
        <v>149</v>
      </c>
      <c r="G5" s="100"/>
      <c r="I5" s="69" t="s">
        <v>148</v>
      </c>
      <c r="J5" s="148">
        <v>8.5000000000000006E-2</v>
      </c>
      <c r="K5" t="s">
        <v>149</v>
      </c>
      <c r="N5" s="100"/>
      <c r="P5" s="69" t="s">
        <v>148</v>
      </c>
      <c r="Q5" s="159">
        <v>6.5000000000000002E-2</v>
      </c>
      <c r="R5" t="s">
        <v>149</v>
      </c>
      <c r="U5" s="100"/>
    </row>
    <row r="6" spans="2:21" x14ac:dyDescent="0.2">
      <c r="B6" s="69" t="s">
        <v>475</v>
      </c>
      <c r="C6" s="120">
        <f>(AVERAGE('EBAY Income Statement'!$B$6:$G$6)/AVERAGE('EBAY Income Statement'!$B$5:$G$5))</f>
        <v>-0.25336799395781001</v>
      </c>
      <c r="G6" s="100"/>
      <c r="I6" s="69" t="s">
        <v>475</v>
      </c>
      <c r="J6" s="154">
        <v>-0.23</v>
      </c>
      <c r="K6" s="155"/>
      <c r="N6" s="100"/>
      <c r="P6" s="69" t="s">
        <v>475</v>
      </c>
      <c r="Q6" s="160">
        <f>-0.27</f>
        <v>-0.27</v>
      </c>
      <c r="U6" s="100"/>
    </row>
    <row r="7" spans="2:21" x14ac:dyDescent="0.2">
      <c r="B7" s="69" t="s">
        <v>476</v>
      </c>
      <c r="C7" s="120">
        <f>AVERAGE('EBAY Income Statement'!$B$8:$G$8)/AVERAGE('EBAY Income Statement'!$B$5:$G$5)</f>
        <v>-0.50181792633446332</v>
      </c>
      <c r="G7" s="100"/>
      <c r="I7" s="69" t="s">
        <v>476</v>
      </c>
      <c r="J7" s="154">
        <v>-0.47</v>
      </c>
      <c r="K7" s="155"/>
      <c r="N7" s="100"/>
      <c r="P7" s="69" t="s">
        <v>476</v>
      </c>
      <c r="Q7" s="160">
        <v>-0.52</v>
      </c>
      <c r="U7" s="100"/>
    </row>
    <row r="8" spans="2:21" x14ac:dyDescent="0.2">
      <c r="B8" s="69" t="s">
        <v>478</v>
      </c>
      <c r="C8" s="114">
        <f>-'EBAY Income Statement'!$H$14</f>
        <v>2.0164268662446008E-3</v>
      </c>
      <c r="G8" s="100"/>
      <c r="I8" s="69" t="s">
        <v>478</v>
      </c>
      <c r="J8" s="114">
        <f>-'EBAY Income Statement'!$H$14</f>
        <v>2.0164268662446008E-3</v>
      </c>
      <c r="N8" s="100"/>
      <c r="P8" s="69" t="s">
        <v>478</v>
      </c>
      <c r="Q8" s="114">
        <f>-'EBAY Income Statement'!$H$14</f>
        <v>2.0164268662446008E-3</v>
      </c>
      <c r="U8" s="100"/>
    </row>
    <row r="9" spans="2:21" x14ac:dyDescent="0.2">
      <c r="B9" s="69" t="s">
        <v>477</v>
      </c>
      <c r="C9" s="114">
        <f>'EBAY Balance Sheet'!$H$21</f>
        <v>0.1387583318891272</v>
      </c>
      <c r="G9" s="100"/>
      <c r="I9" s="69" t="s">
        <v>477</v>
      </c>
      <c r="J9" s="114">
        <f>'EBAY Balance Sheet'!$H$21</f>
        <v>0.1387583318891272</v>
      </c>
      <c r="N9" s="100"/>
      <c r="P9" s="69" t="s">
        <v>477</v>
      </c>
      <c r="Q9" s="114">
        <f>'EBAY Balance Sheet'!$H$21</f>
        <v>0.1387583318891272</v>
      </c>
      <c r="U9" s="100"/>
    </row>
    <row r="10" spans="2:21" x14ac:dyDescent="0.2">
      <c r="B10" s="44" t="s">
        <v>427</v>
      </c>
      <c r="C10" s="114">
        <f>'CAPM and WACC'!$B$7</f>
        <v>7.6899999999999996E-2</v>
      </c>
      <c r="D10" t="s">
        <v>479</v>
      </c>
      <c r="G10" s="100"/>
      <c r="I10" s="44" t="s">
        <v>427</v>
      </c>
      <c r="J10" s="114">
        <f>'CAPM and WACC'!$B$7</f>
        <v>7.6899999999999996E-2</v>
      </c>
      <c r="K10" t="s">
        <v>479</v>
      </c>
      <c r="N10" s="100"/>
      <c r="P10" s="44" t="s">
        <v>427</v>
      </c>
      <c r="Q10" s="114">
        <f>'CAPM and WACC'!$B$7</f>
        <v>7.6899999999999996E-2</v>
      </c>
      <c r="R10" t="s">
        <v>479</v>
      </c>
      <c r="U10" s="100"/>
    </row>
    <row r="11" spans="2:21" x14ac:dyDescent="0.2">
      <c r="B11" s="45" t="s">
        <v>434</v>
      </c>
      <c r="C11" s="115">
        <v>2.5000000000000001E-2</v>
      </c>
      <c r="G11" s="100"/>
      <c r="I11" s="45" t="s">
        <v>434</v>
      </c>
      <c r="J11" s="150">
        <v>2.7E-2</v>
      </c>
      <c r="N11" s="100"/>
      <c r="P11" s="45" t="s">
        <v>434</v>
      </c>
      <c r="Q11" s="161">
        <v>2.3E-2</v>
      </c>
      <c r="U11" s="100"/>
    </row>
    <row r="12" spans="2:21" x14ac:dyDescent="0.2">
      <c r="B12" s="44"/>
      <c r="G12" s="100"/>
      <c r="I12" s="44"/>
      <c r="N12" s="100"/>
      <c r="P12" s="44"/>
      <c r="U12" s="100"/>
    </row>
    <row r="13" spans="2:21" x14ac:dyDescent="0.2">
      <c r="B13" s="138" t="s">
        <v>426</v>
      </c>
      <c r="C13" s="136">
        <v>1</v>
      </c>
      <c r="D13" s="136">
        <v>1</v>
      </c>
      <c r="E13" s="136">
        <v>3</v>
      </c>
      <c r="F13" s="136">
        <v>4</v>
      </c>
      <c r="G13" s="136">
        <v>5</v>
      </c>
      <c r="I13" s="151" t="s">
        <v>426</v>
      </c>
      <c r="J13" s="152">
        <v>1</v>
      </c>
      <c r="K13" s="152">
        <v>1</v>
      </c>
      <c r="L13" s="152">
        <v>3</v>
      </c>
      <c r="M13" s="152">
        <v>4</v>
      </c>
      <c r="N13" s="152">
        <v>5</v>
      </c>
      <c r="P13" s="156" t="s">
        <v>426</v>
      </c>
      <c r="Q13" s="157">
        <v>1</v>
      </c>
      <c r="R13" s="157">
        <v>1</v>
      </c>
      <c r="S13" s="157">
        <v>3</v>
      </c>
      <c r="T13" s="157">
        <v>4</v>
      </c>
      <c r="U13" s="157">
        <v>5</v>
      </c>
    </row>
    <row r="14" spans="2:21" x14ac:dyDescent="0.2">
      <c r="B14" s="138" t="s">
        <v>425</v>
      </c>
      <c r="C14" s="137">
        <v>2025</v>
      </c>
      <c r="D14" s="137">
        <v>2026</v>
      </c>
      <c r="E14" s="137">
        <v>2027</v>
      </c>
      <c r="F14" s="137">
        <v>2028</v>
      </c>
      <c r="G14" s="137">
        <v>2029</v>
      </c>
      <c r="I14" s="151" t="s">
        <v>425</v>
      </c>
      <c r="J14" s="153">
        <v>2025</v>
      </c>
      <c r="K14" s="153">
        <v>2026</v>
      </c>
      <c r="L14" s="153">
        <v>2027</v>
      </c>
      <c r="M14" s="153">
        <v>2028</v>
      </c>
      <c r="N14" s="153">
        <v>2029</v>
      </c>
      <c r="P14" s="156" t="s">
        <v>425</v>
      </c>
      <c r="Q14" s="158">
        <v>2025</v>
      </c>
      <c r="R14" s="158">
        <v>2026</v>
      </c>
      <c r="S14" s="158">
        <v>2027</v>
      </c>
      <c r="T14" s="158">
        <v>2028</v>
      </c>
      <c r="U14" s="158">
        <v>2029</v>
      </c>
    </row>
    <row r="15" spans="2:21" x14ac:dyDescent="0.2">
      <c r="B15" s="44" t="s">
        <v>99</v>
      </c>
      <c r="C15" s="71">
        <f>'EBAY Income Statement'!$G$5*(1+$C$5)</f>
        <v>11054.225</v>
      </c>
      <c r="D15" s="97">
        <f>C15*(1+$C$5)</f>
        <v>11883.291875000001</v>
      </c>
      <c r="E15" s="97">
        <f>D15*(1+$C$5)</f>
        <v>12774.538765625</v>
      </c>
      <c r="F15" s="97">
        <f>E15*(1+$C$5)</f>
        <v>13732.629173046875</v>
      </c>
      <c r="G15" s="122">
        <f>F15*(1+$C$5)</f>
        <v>14762.576361025389</v>
      </c>
      <c r="I15" s="44" t="s">
        <v>99</v>
      </c>
      <c r="J15" s="71">
        <f>'EBAY Income Statement'!$G$5*(1+$J$5)</f>
        <v>11157.055</v>
      </c>
      <c r="K15" s="97">
        <f>J15*(1+$J$5)</f>
        <v>12105.404675</v>
      </c>
      <c r="L15" s="97">
        <f>K15*(1+$J$5)</f>
        <v>13134.364072375</v>
      </c>
      <c r="M15" s="97">
        <f t="shared" ref="M15:N15" si="0">L15*(1+$J$5)</f>
        <v>14250.785018526874</v>
      </c>
      <c r="N15" s="97">
        <f t="shared" si="0"/>
        <v>15462.101745101658</v>
      </c>
      <c r="P15" s="44" t="s">
        <v>99</v>
      </c>
      <c r="Q15" s="71">
        <f>'EBAY Income Statement'!$G$5*(1+$Q$5)</f>
        <v>10951.394999999999</v>
      </c>
      <c r="R15" s="97">
        <f>Q15*(1+$Q$5)</f>
        <v>11663.235674999998</v>
      </c>
      <c r="S15" s="97">
        <f t="shared" ref="S15:U15" si="1">R15*(1+$Q$5)</f>
        <v>12421.345993874997</v>
      </c>
      <c r="T15" s="97">
        <f t="shared" si="1"/>
        <v>13228.73348347687</v>
      </c>
      <c r="U15" s="122">
        <f t="shared" si="1"/>
        <v>14088.601159902866</v>
      </c>
    </row>
    <row r="16" spans="2:21" x14ac:dyDescent="0.2">
      <c r="B16" s="45" t="s">
        <v>474</v>
      </c>
      <c r="C16" s="72">
        <f>C15*$C$6</f>
        <v>-2800.7868130082725</v>
      </c>
      <c r="D16" s="73">
        <f>D15*$C$6</f>
        <v>-3010.8458239838928</v>
      </c>
      <c r="E16" s="73">
        <f>E15*$C$6</f>
        <v>-3236.6592607826847</v>
      </c>
      <c r="F16" s="73">
        <f>F15*$C$6</f>
        <v>-3479.4087053413859</v>
      </c>
      <c r="G16" s="131">
        <f>G15*$C$6</f>
        <v>-3740.3643582419895</v>
      </c>
      <c r="I16" s="45" t="s">
        <v>474</v>
      </c>
      <c r="J16" s="72">
        <f>J15*$J$6</f>
        <v>-2566.1226500000002</v>
      </c>
      <c r="K16" s="73">
        <f t="shared" ref="K16:N16" si="2">K15*$J$6</f>
        <v>-2784.2430752499999</v>
      </c>
      <c r="L16" s="73">
        <f t="shared" si="2"/>
        <v>-3020.9037366462499</v>
      </c>
      <c r="M16" s="73">
        <f t="shared" si="2"/>
        <v>-3277.6805542611814</v>
      </c>
      <c r="N16" s="131">
        <f t="shared" si="2"/>
        <v>-3556.2834013733814</v>
      </c>
      <c r="P16" s="45" t="s">
        <v>474</v>
      </c>
      <c r="Q16" s="72">
        <f>Q15*$Q$6</f>
        <v>-2956.8766499999997</v>
      </c>
      <c r="R16" s="73">
        <f t="shared" ref="R16:U16" si="3">R15*$Q$6</f>
        <v>-3149.0736322499997</v>
      </c>
      <c r="S16" s="73">
        <f t="shared" si="3"/>
        <v>-3353.7634183462492</v>
      </c>
      <c r="T16" s="73">
        <f t="shared" si="3"/>
        <v>-3571.7580405387553</v>
      </c>
      <c r="U16" s="131">
        <f t="shared" si="3"/>
        <v>-3803.922313173774</v>
      </c>
    </row>
    <row r="17" spans="2:21 16379:16379" x14ac:dyDescent="0.2">
      <c r="B17" s="44" t="s">
        <v>144</v>
      </c>
      <c r="C17" s="75">
        <f>SUM(C15:C16)</f>
        <v>8253.438186991727</v>
      </c>
      <c r="D17" s="76">
        <f>SUM(D15:D16)</f>
        <v>8872.446051016108</v>
      </c>
      <c r="E17" s="76">
        <f>SUM(E15:E16)</f>
        <v>9537.8795048423162</v>
      </c>
      <c r="F17" s="76">
        <f>SUM(F15:F16)</f>
        <v>10253.220467705489</v>
      </c>
      <c r="G17" s="123">
        <f>SUM(G15:G16)</f>
        <v>11022.212002783399</v>
      </c>
      <c r="I17" s="44" t="s">
        <v>144</v>
      </c>
      <c r="J17" s="75">
        <f>SUM(J15:J16)</f>
        <v>8590.9323499999991</v>
      </c>
      <c r="K17" s="76">
        <f>SUM(K15:K16)</f>
        <v>9321.1615997499994</v>
      </c>
      <c r="L17" s="76">
        <f>SUM(L15:L16)</f>
        <v>10113.460335728749</v>
      </c>
      <c r="M17" s="76">
        <f>SUM(M15:M16)</f>
        <v>10973.104464265693</v>
      </c>
      <c r="N17" s="123">
        <f>SUM(N15:N16)</f>
        <v>11905.818343728277</v>
      </c>
      <c r="P17" s="44" t="s">
        <v>144</v>
      </c>
      <c r="Q17" s="75">
        <f>SUM(Q15:Q16)</f>
        <v>7994.5183499999985</v>
      </c>
      <c r="R17" s="76">
        <f>SUM(R15:R16)</f>
        <v>8514.1620427499984</v>
      </c>
      <c r="S17" s="76">
        <f>SUM(S15:S16)</f>
        <v>9067.5825755287478</v>
      </c>
      <c r="T17" s="76">
        <f>SUM(T15:T16)</f>
        <v>9656.9754429381137</v>
      </c>
      <c r="U17" s="123">
        <f>SUM(U15:U16)</f>
        <v>10284.678846729092</v>
      </c>
    </row>
    <row r="18" spans="2:21 16379:16379" x14ac:dyDescent="0.2">
      <c r="B18" s="45" t="s">
        <v>102</v>
      </c>
      <c r="C18" s="99">
        <f>C15*$C$7</f>
        <v>-5547.208266734583</v>
      </c>
      <c r="D18" s="98">
        <f>D15*$C$7</f>
        <v>-5963.2488867396769</v>
      </c>
      <c r="E18" s="98">
        <f>E15*$C$7</f>
        <v>-6410.4925532451525</v>
      </c>
      <c r="F18" s="98">
        <f>F15*$C$7</f>
        <v>-6891.2794947385382</v>
      </c>
      <c r="G18" s="132">
        <f>G15*$C$7</f>
        <v>-7408.1254568439281</v>
      </c>
      <c r="I18" s="45" t="s">
        <v>102</v>
      </c>
      <c r="J18" s="99">
        <f>J15*$J$7</f>
        <v>-5243.81585</v>
      </c>
      <c r="K18" s="98">
        <f t="shared" ref="K18:N18" si="4">K15*$J$7</f>
        <v>-5689.5401972499994</v>
      </c>
      <c r="L18" s="98">
        <f t="shared" si="4"/>
        <v>-6173.1511140162493</v>
      </c>
      <c r="M18" s="98">
        <f t="shared" si="4"/>
        <v>-6697.8689587076306</v>
      </c>
      <c r="N18" s="132">
        <f t="shared" si="4"/>
        <v>-7267.1878201977788</v>
      </c>
      <c r="P18" s="45" t="s">
        <v>102</v>
      </c>
      <c r="Q18" s="99">
        <f>Q15*$Q$7</f>
        <v>-5694.7253999999994</v>
      </c>
      <c r="R18" s="98">
        <f t="shared" ref="R18:U18" si="5">R15*$Q$7</f>
        <v>-6064.8825509999988</v>
      </c>
      <c r="S18" s="98">
        <f t="shared" si="5"/>
        <v>-6459.0999168149983</v>
      </c>
      <c r="T18" s="98">
        <f t="shared" si="5"/>
        <v>-6878.9414114079727</v>
      </c>
      <c r="U18" s="132">
        <f t="shared" si="5"/>
        <v>-7326.0726031494905</v>
      </c>
      <c r="XEY18" s="69"/>
    </row>
    <row r="19" spans="2:21 16379:16379" x14ac:dyDescent="0.2">
      <c r="B19" s="44" t="s">
        <v>101</v>
      </c>
      <c r="C19" s="71">
        <f t="shared" ref="C19:G19" si="6">SUM(C17:C18)</f>
        <v>2706.2299202571439</v>
      </c>
      <c r="D19" s="97">
        <f t="shared" si="6"/>
        <v>2909.1971642764311</v>
      </c>
      <c r="E19" s="97">
        <f t="shared" si="6"/>
        <v>3127.3869515971637</v>
      </c>
      <c r="F19" s="97">
        <f t="shared" si="6"/>
        <v>3361.9409729669505</v>
      </c>
      <c r="G19" s="122">
        <f t="shared" si="6"/>
        <v>3614.0865459394709</v>
      </c>
      <c r="I19" s="44" t="s">
        <v>101</v>
      </c>
      <c r="J19" s="71">
        <f t="shared" ref="J19:N19" si="7">SUM(J17:J18)</f>
        <v>3347.1164999999992</v>
      </c>
      <c r="K19" s="97">
        <f t="shared" si="7"/>
        <v>3631.6214024999999</v>
      </c>
      <c r="L19" s="97">
        <f t="shared" si="7"/>
        <v>3940.3092217124995</v>
      </c>
      <c r="M19" s="97">
        <f t="shared" si="7"/>
        <v>4275.235505558062</v>
      </c>
      <c r="N19" s="122">
        <f t="shared" si="7"/>
        <v>4638.6305235304981</v>
      </c>
      <c r="P19" s="44" t="s">
        <v>101</v>
      </c>
      <c r="Q19" s="71">
        <f t="shared" ref="Q19:U19" si="8">SUM(Q17:Q18)</f>
        <v>2299.7929499999991</v>
      </c>
      <c r="R19" s="97">
        <f t="shared" si="8"/>
        <v>2449.2794917499996</v>
      </c>
      <c r="S19" s="97">
        <f t="shared" si="8"/>
        <v>2608.4826587137495</v>
      </c>
      <c r="T19" s="97">
        <f t="shared" si="8"/>
        <v>2778.034031530141</v>
      </c>
      <c r="U19" s="122">
        <f t="shared" si="8"/>
        <v>2958.6062435796011</v>
      </c>
    </row>
    <row r="20" spans="2:21 16379:16379" x14ac:dyDescent="0.2">
      <c r="B20" s="45" t="s">
        <v>455</v>
      </c>
      <c r="C20" s="72">
        <f>-C19*$C$4</f>
        <v>-605.26821609217438</v>
      </c>
      <c r="D20" s="73">
        <f>-D19*$C$4</f>
        <v>-650.66333229908776</v>
      </c>
      <c r="E20" s="73">
        <f>-E19*$C$4</f>
        <v>-699.46308222151947</v>
      </c>
      <c r="F20" s="73">
        <f>-F19*$C$4</f>
        <v>-751.92281338813325</v>
      </c>
      <c r="G20" s="131">
        <f>-G19*$C$4</f>
        <v>-808.31702439224307</v>
      </c>
      <c r="I20" s="45" t="s">
        <v>455</v>
      </c>
      <c r="J20" s="72">
        <f>-J19*$C$4</f>
        <v>-748.60721102927653</v>
      </c>
      <c r="K20" s="73">
        <f>-K19*$C$4</f>
        <v>-812.23882396676527</v>
      </c>
      <c r="L20" s="73">
        <f>-L19*$C$4</f>
        <v>-881.27912400394018</v>
      </c>
      <c r="M20" s="73">
        <f>-M19*$C$4</f>
        <v>-956.18784954427508</v>
      </c>
      <c r="N20" s="131">
        <f>-N19*$C$4</f>
        <v>-1037.4638167555386</v>
      </c>
      <c r="P20" s="45" t="s">
        <v>455</v>
      </c>
      <c r="Q20" s="72">
        <f>-Q19*$C$4</f>
        <v>-514.36559983624477</v>
      </c>
      <c r="R20" s="73">
        <f>-R19*$C$4</f>
        <v>-547.79936382560084</v>
      </c>
      <c r="S20" s="73">
        <f>-S19*$C$4</f>
        <v>-583.40632247426481</v>
      </c>
      <c r="T20" s="73">
        <f>-T19*$C$4</f>
        <v>-621.32773343509155</v>
      </c>
      <c r="U20" s="131">
        <f>-U19*$C$4</f>
        <v>-661.71403610837274</v>
      </c>
    </row>
    <row r="21" spans="2:21 16379:16379" x14ac:dyDescent="0.2">
      <c r="B21" s="127" t="s">
        <v>145</v>
      </c>
      <c r="C21" s="75">
        <f>SUM(C19:C20)</f>
        <v>2100.9617041649694</v>
      </c>
      <c r="D21" s="76">
        <f>SUM(D19:D20)</f>
        <v>2258.5338319773432</v>
      </c>
      <c r="E21" s="76">
        <f>SUM(E19:E20)</f>
        <v>2427.9238693756442</v>
      </c>
      <c r="F21" s="76">
        <f>SUM(F19:F20)</f>
        <v>2610.0181595788172</v>
      </c>
      <c r="G21" s="123">
        <f>SUM(G19:G20)</f>
        <v>2805.7695215472277</v>
      </c>
      <c r="I21" s="127" t="s">
        <v>145</v>
      </c>
      <c r="J21" s="75">
        <f>SUM(J19:J20)</f>
        <v>2598.5092889707225</v>
      </c>
      <c r="K21" s="76">
        <f>SUM(K19:K20)</f>
        <v>2819.3825785332347</v>
      </c>
      <c r="L21" s="76">
        <f>SUM(L19:L20)</f>
        <v>3059.0300977085594</v>
      </c>
      <c r="M21" s="76">
        <f>SUM(M19:M20)</f>
        <v>3319.0476560137868</v>
      </c>
      <c r="N21" s="123">
        <f>SUM(N19:N20)</f>
        <v>3601.1667067749595</v>
      </c>
      <c r="P21" s="127" t="s">
        <v>145</v>
      </c>
      <c r="Q21" s="75">
        <f>SUM(Q19:Q20)</f>
        <v>1785.4273501637545</v>
      </c>
      <c r="R21" s="76">
        <f>SUM(R19:R20)</f>
        <v>1901.4801279243989</v>
      </c>
      <c r="S21" s="76">
        <f>SUM(S19:S20)</f>
        <v>2025.0763362394846</v>
      </c>
      <c r="T21" s="76">
        <f>SUM(T19:T20)</f>
        <v>2156.7062980950495</v>
      </c>
      <c r="U21" s="123">
        <f>SUM(U19:U20)</f>
        <v>2296.8922074712282</v>
      </c>
    </row>
    <row r="22" spans="2:21 16379:16379" x14ac:dyDescent="0.2">
      <c r="B22" s="127" t="s">
        <v>347</v>
      </c>
      <c r="C22" s="70">
        <f>$C$8*C15</f>
        <v>22.290036275512723</v>
      </c>
      <c r="D22" s="64">
        <f>$C$8*D15</f>
        <v>23.961788996176178</v>
      </c>
      <c r="E22" s="64">
        <f>$C$8*E15</f>
        <v>25.758923170889389</v>
      </c>
      <c r="F22" s="64">
        <f>$C$8*F15</f>
        <v>27.690842408706093</v>
      </c>
      <c r="G22" s="125">
        <f>$C$8*G15</f>
        <v>29.767655589359048</v>
      </c>
      <c r="I22" s="127" t="s">
        <v>347</v>
      </c>
      <c r="J22" s="70">
        <f>$J$8*J15</f>
        <v>22.497385450168654</v>
      </c>
      <c r="K22" s="64">
        <f>$J$8*K15</f>
        <v>24.409663213432989</v>
      </c>
      <c r="L22" s="64">
        <f>$J$8*L15</f>
        <v>26.484484586574794</v>
      </c>
      <c r="M22" s="64">
        <f>$J$8*M15</f>
        <v>28.735665776433649</v>
      </c>
      <c r="N22" s="125">
        <f>$J$8*N15</f>
        <v>31.17819736743051</v>
      </c>
      <c r="P22" s="127" t="s">
        <v>347</v>
      </c>
      <c r="Q22" s="70">
        <f>$Q$8*Q15</f>
        <v>22.082687100856788</v>
      </c>
      <c r="R22" s="64">
        <f t="shared" ref="R22:U22" si="9">$Q$8*R15</f>
        <v>23.518061762412476</v>
      </c>
      <c r="S22" s="64">
        <f t="shared" si="9"/>
        <v>25.046735776969285</v>
      </c>
      <c r="T22" s="64">
        <f t="shared" si="9"/>
        <v>26.674773602472285</v>
      </c>
      <c r="U22" s="125">
        <f t="shared" si="9"/>
        <v>28.408633886632984</v>
      </c>
    </row>
    <row r="23" spans="2:21 16379:16379" x14ac:dyDescent="0.2">
      <c r="B23" s="127" t="s">
        <v>346</v>
      </c>
      <c r="C23" s="75">
        <v>-301.37</v>
      </c>
      <c r="D23" s="79" cm="1">
        <f t="array" ref="D23:G23">-'EBAY Balance Sheet'!$R$5:$U$5</f>
        <v>-346.03867332275604</v>
      </c>
      <c r="E23" s="79">
        <v>-371.99157382196336</v>
      </c>
      <c r="F23" s="79">
        <v>-399.89094185861086</v>
      </c>
      <c r="G23" s="126">
        <v>-429.88276249800583</v>
      </c>
      <c r="I23" s="127" t="s">
        <v>346</v>
      </c>
      <c r="J23" s="75">
        <v>-301.37</v>
      </c>
      <c r="K23" s="79" cm="1">
        <f t="array" ref="K23:N23">-'EBAY Balance Sheet'!$R$5:$U$5</f>
        <v>-346.03867332275604</v>
      </c>
      <c r="L23" s="79">
        <v>-371.99157382196336</v>
      </c>
      <c r="M23" s="79">
        <v>-399.89094185861086</v>
      </c>
      <c r="N23" s="126">
        <v>-429.88276249800583</v>
      </c>
      <c r="P23" s="127" t="s">
        <v>346</v>
      </c>
      <c r="Q23" s="75">
        <v>-301.37</v>
      </c>
      <c r="R23" s="79" cm="1">
        <f t="array" ref="R23:U23">-'EBAY Balance Sheet'!$R$5:$U$5</f>
        <v>-346.03867332275604</v>
      </c>
      <c r="S23" s="79">
        <v>-371.99157382196336</v>
      </c>
      <c r="T23" s="79">
        <v>-399.89094185861086</v>
      </c>
      <c r="U23" s="126">
        <v>-429.88276249800583</v>
      </c>
    </row>
    <row r="24" spans="2:21 16379:16379" ht="16" thickBot="1" x14ac:dyDescent="0.25">
      <c r="B24" s="135" t="s">
        <v>348</v>
      </c>
      <c r="C24" s="81" cm="1">
        <f t="array" ref="C24:G24">-'EBAY Balance Sheet'!$H$20:$L$20</f>
        <v>-270.86582132708713</v>
      </c>
      <c r="D24" s="87">
        <v>-115.03993659953176</v>
      </c>
      <c r="E24" s="87">
        <v>-123.66793184449625</v>
      </c>
      <c r="F24" s="87">
        <v>-132.94302673283346</v>
      </c>
      <c r="G24" s="134">
        <v>-142.91375373779579</v>
      </c>
      <c r="I24" s="135" t="s">
        <v>348</v>
      </c>
      <c r="J24" s="81" cm="1">
        <f t="array" ref="J24:N24">-'EBAY Balance Sheet'!$H$23:$L$23</f>
        <v>-285.13434059524616</v>
      </c>
      <c r="K24" s="87">
        <v>-131.59141895059588</v>
      </c>
      <c r="L24" s="87">
        <v>-142.77668956139655</v>
      </c>
      <c r="M24" s="87">
        <v>-154.9127081741151</v>
      </c>
      <c r="N24" s="134">
        <v>-168.08028836891503</v>
      </c>
      <c r="P24" s="135" t="s">
        <v>348</v>
      </c>
      <c r="Q24" s="81" cm="1">
        <f t="array" ref="Q24:U24">-'EBAY Balance Sheet'!$H$26:$L$26</f>
        <v>-256.59730205892788</v>
      </c>
      <c r="R24" s="87">
        <v>-98.773824633830372</v>
      </c>
      <c r="S24" s="87">
        <v>-105.19412323502911</v>
      </c>
      <c r="T24" s="87">
        <v>-112.03174124530597</v>
      </c>
      <c r="U24" s="134">
        <v>-119.31380442625095</v>
      </c>
    </row>
    <row r="25" spans="2:21 16379:16379" ht="16" thickTop="1" x14ac:dyDescent="0.2">
      <c r="B25" s="127" t="s">
        <v>103</v>
      </c>
      <c r="C25" s="82">
        <f>SUM(C21:C24)</f>
        <v>1551.0159191133951</v>
      </c>
      <c r="D25" s="121">
        <f t="shared" ref="D25:G25" si="10">SUM(D21:D24)</f>
        <v>1821.4170110512314</v>
      </c>
      <c r="E25" s="121">
        <f t="shared" si="10"/>
        <v>1958.023286880074</v>
      </c>
      <c r="F25" s="121">
        <f t="shared" si="10"/>
        <v>2104.8750333960788</v>
      </c>
      <c r="G25" s="128">
        <f t="shared" si="10"/>
        <v>2262.7406609007849</v>
      </c>
      <c r="I25" s="127" t="s">
        <v>103</v>
      </c>
      <c r="J25" s="82">
        <f>SUM(J21:J24)</f>
        <v>2034.5023338256451</v>
      </c>
      <c r="K25" s="121">
        <f t="shared" ref="K25:N25" si="11">SUM(K21:K24)</f>
        <v>2366.1621494733154</v>
      </c>
      <c r="L25" s="121">
        <f t="shared" si="11"/>
        <v>2570.7463189117743</v>
      </c>
      <c r="M25" s="121">
        <f t="shared" si="11"/>
        <v>2792.9796717574945</v>
      </c>
      <c r="N25" s="128">
        <f t="shared" si="11"/>
        <v>3034.3818532754694</v>
      </c>
      <c r="P25" s="127" t="s">
        <v>103</v>
      </c>
      <c r="Q25" s="82">
        <f>SUM(Q21:Q24)</f>
        <v>1249.5427352056834</v>
      </c>
      <c r="R25" s="121">
        <f t="shared" ref="R25:U25" si="12">SUM(R21:R24)</f>
        <v>1480.185691730225</v>
      </c>
      <c r="S25" s="121">
        <f t="shared" si="12"/>
        <v>1572.9373749594615</v>
      </c>
      <c r="T25" s="121">
        <f t="shared" si="12"/>
        <v>1671.4583885936049</v>
      </c>
      <c r="U25" s="128">
        <f t="shared" si="12"/>
        <v>1776.1042744336046</v>
      </c>
    </row>
    <row r="26" spans="2:21 16379:16379" x14ac:dyDescent="0.2">
      <c r="B26" s="45" t="s">
        <v>433</v>
      </c>
      <c r="C26" s="130">
        <f>C25/(1+$C$10)^C13</f>
        <v>1440.2599304609482</v>
      </c>
      <c r="D26" s="129">
        <f>D25/(1+$C$10)^D13</f>
        <v>1691.352039234127</v>
      </c>
      <c r="E26" s="129">
        <f>E25/(1+$C$10)^E13</f>
        <v>1567.803832341579</v>
      </c>
      <c r="F26" s="129">
        <f>F25/(1+$C$10)^F13</f>
        <v>1565.0377191635221</v>
      </c>
      <c r="G26" s="117">
        <f>G25/(1+$C$10)^G13</f>
        <v>1562.2764863040081</v>
      </c>
      <c r="I26" s="45" t="s">
        <v>433</v>
      </c>
      <c r="J26" s="130">
        <f>J25/(1+$C$10)^J13</f>
        <v>1889.2212218642819</v>
      </c>
      <c r="K26" s="129">
        <f>K25/(1+$C$10)^K13</f>
        <v>2197.1976501748682</v>
      </c>
      <c r="L26" s="129">
        <f>L25/(1+$C$10)^L13</f>
        <v>2058.4157286453888</v>
      </c>
      <c r="M26" s="129">
        <f>M25/(1+$C$10)^M13</f>
        <v>2076.6641562111727</v>
      </c>
      <c r="N26" s="117">
        <f>N25/(1+$C$10)^N13</f>
        <v>2095.044961075062</v>
      </c>
      <c r="P26" s="45" t="s">
        <v>433</v>
      </c>
      <c r="Q26" s="130">
        <f>Q25/(1+$C$10)^Q13</f>
        <v>1160.3145465741327</v>
      </c>
      <c r="R26" s="129">
        <f>R25/(1+$C$10)^R13</f>
        <v>1374.4875956265439</v>
      </c>
      <c r="S26" s="129">
        <f>S25/(1+$C$10)^S13</f>
        <v>1259.4626739216044</v>
      </c>
      <c r="T26" s="129">
        <f>T25/(1+$C$10)^T13</f>
        <v>1242.7794442222512</v>
      </c>
      <c r="U26" s="117">
        <f>U25/(1+$C$10)^U13</f>
        <v>1226.2854480491114</v>
      </c>
    </row>
    <row r="27" spans="2:21 16379:16379" x14ac:dyDescent="0.2">
      <c r="B27" s="69"/>
      <c r="E27" s="102"/>
      <c r="F27" s="102"/>
      <c r="G27" s="120"/>
      <c r="H27" s="61"/>
      <c r="I27" s="69"/>
      <c r="L27" s="102"/>
      <c r="M27" s="102"/>
      <c r="N27" s="120"/>
      <c r="P27" s="69"/>
      <c r="S27" s="102"/>
      <c r="T27" s="102"/>
      <c r="U27" s="120"/>
    </row>
    <row r="28" spans="2:21 16379:16379" x14ac:dyDescent="0.2">
      <c r="B28" s="69" t="s">
        <v>435</v>
      </c>
      <c r="C28" s="84">
        <f>SUM(C26:G26)</f>
        <v>7826.730007504184</v>
      </c>
      <c r="G28" s="100"/>
      <c r="I28" s="69" t="s">
        <v>435</v>
      </c>
      <c r="J28" s="84">
        <f>SUM(J26:N26)</f>
        <v>10316.543717970773</v>
      </c>
      <c r="N28" s="100"/>
      <c r="P28" s="69" t="s">
        <v>435</v>
      </c>
      <c r="Q28" s="84">
        <f>SUM(Q26:U26)</f>
        <v>6263.3297083936441</v>
      </c>
      <c r="U28" s="100"/>
    </row>
    <row r="29" spans="2:21 16379:16379" x14ac:dyDescent="0.2">
      <c r="B29" s="69" t="s">
        <v>436</v>
      </c>
      <c r="C29" s="84">
        <f>-PV(C10,5,0,(G25*(1+C11))/(C10-C11))</f>
        <v>30854.208062844093</v>
      </c>
      <c r="G29" s="100"/>
      <c r="I29" s="69" t="s">
        <v>436</v>
      </c>
      <c r="J29" s="84">
        <f>-PV(J10,5,0,(N25*(1+J11))/(J10-J11))</f>
        <v>43118.460421324417</v>
      </c>
      <c r="N29" s="100"/>
      <c r="P29" s="69" t="s">
        <v>436</v>
      </c>
      <c r="Q29" s="84">
        <f>-PV(Q10,5,0,(U25*(1+Q11))/(Q10-Q11))</f>
        <v>23274.397279299465</v>
      </c>
      <c r="U29" s="100"/>
    </row>
    <row r="30" spans="2:21 16379:16379" x14ac:dyDescent="0.2">
      <c r="B30" s="43" t="s">
        <v>437</v>
      </c>
      <c r="C30" s="95">
        <f>SUM(C28:C29)</f>
        <v>38680.938070348275</v>
      </c>
      <c r="G30" s="100"/>
      <c r="I30" s="43" t="s">
        <v>437</v>
      </c>
      <c r="J30" s="95">
        <f>SUM(J28:J29)</f>
        <v>53435.00413929519</v>
      </c>
      <c r="N30" s="100"/>
      <c r="P30" s="43" t="s">
        <v>437</v>
      </c>
      <c r="Q30" s="95">
        <f>SUM(Q28:Q29)</f>
        <v>29537.72698769311</v>
      </c>
      <c r="U30" s="100"/>
    </row>
    <row r="31" spans="2:21 16379:16379" x14ac:dyDescent="0.2">
      <c r="B31" s="69"/>
      <c r="G31" s="100"/>
      <c r="I31" s="69"/>
      <c r="N31" s="100"/>
      <c r="P31" s="69"/>
      <c r="U31" s="100"/>
    </row>
    <row r="32" spans="2:21 16379:16379" x14ac:dyDescent="0.2">
      <c r="B32" s="124" t="s">
        <v>438</v>
      </c>
      <c r="C32">
        <f>'EBAY Balance Sheet'!$G$9</f>
        <v>2433</v>
      </c>
      <c r="G32" s="100"/>
      <c r="I32" s="124" t="s">
        <v>438</v>
      </c>
      <c r="J32">
        <f>'EBAY Balance Sheet'!$G$9</f>
        <v>2433</v>
      </c>
      <c r="N32" s="100"/>
      <c r="P32" s="124" t="s">
        <v>438</v>
      </c>
      <c r="Q32">
        <f>'EBAY Balance Sheet'!$G$9</f>
        <v>2433</v>
      </c>
      <c r="U32" s="100"/>
    </row>
    <row r="33" spans="2:21" x14ac:dyDescent="0.2">
      <c r="B33" s="124" t="s">
        <v>439</v>
      </c>
      <c r="C33">
        <f>-('EBAY Balance Sheet'!$G$43+'EBAY Balance Sheet'!$G$56)</f>
        <v>-7425</v>
      </c>
      <c r="G33" s="100"/>
      <c r="I33" s="124" t="s">
        <v>439</v>
      </c>
      <c r="J33">
        <f>-('EBAY Balance Sheet'!$G$43+'EBAY Balance Sheet'!$G$56)</f>
        <v>-7425</v>
      </c>
      <c r="N33" s="100"/>
      <c r="P33" s="124" t="s">
        <v>439</v>
      </c>
      <c r="Q33">
        <f>-('EBAY Balance Sheet'!$G$43+'EBAY Balance Sheet'!$G$56)</f>
        <v>-7425</v>
      </c>
      <c r="U33" s="100"/>
    </row>
    <row r="34" spans="2:21" x14ac:dyDescent="0.2">
      <c r="B34" s="43" t="s">
        <v>440</v>
      </c>
      <c r="C34" s="95">
        <f>SUM(C30:C33)</f>
        <v>33688.938070348275</v>
      </c>
      <c r="G34" s="100"/>
      <c r="I34" s="43" t="s">
        <v>440</v>
      </c>
      <c r="J34" s="95">
        <f>SUM(J30:J33)</f>
        <v>48443.00413929519</v>
      </c>
      <c r="N34" s="100"/>
      <c r="P34" s="43" t="s">
        <v>440</v>
      </c>
      <c r="Q34" s="95">
        <f>SUM(Q30:Q33)</f>
        <v>24545.72698769311</v>
      </c>
      <c r="U34" s="100"/>
    </row>
    <row r="35" spans="2:21" x14ac:dyDescent="0.2">
      <c r="B35" s="69"/>
      <c r="G35" s="100"/>
      <c r="I35" s="69"/>
      <c r="N35" s="100"/>
      <c r="P35" s="69"/>
      <c r="U35" s="100"/>
    </row>
    <row r="36" spans="2:21" x14ac:dyDescent="0.2">
      <c r="B36" s="69" t="s">
        <v>441</v>
      </c>
      <c r="C36">
        <v>479</v>
      </c>
      <c r="G36" s="100"/>
      <c r="I36" s="69" t="s">
        <v>441</v>
      </c>
      <c r="J36">
        <v>479</v>
      </c>
      <c r="N36" s="100"/>
      <c r="P36" s="69" t="s">
        <v>441</v>
      </c>
      <c r="Q36">
        <v>479</v>
      </c>
      <c r="U36" s="100"/>
    </row>
    <row r="37" spans="2:21" x14ac:dyDescent="0.2">
      <c r="B37" s="43" t="s">
        <v>442</v>
      </c>
      <c r="C37" s="95">
        <f>C34/C36</f>
        <v>70.331812255424367</v>
      </c>
      <c r="G37" s="100"/>
      <c r="I37" s="43" t="s">
        <v>442</v>
      </c>
      <c r="J37" s="95">
        <f>J34/J36</f>
        <v>101.13362033255781</v>
      </c>
      <c r="N37" s="100"/>
      <c r="P37" s="43" t="s">
        <v>442</v>
      </c>
      <c r="Q37" s="95">
        <f>Q34/Q36</f>
        <v>51.243688909588954</v>
      </c>
      <c r="U37" s="100"/>
    </row>
    <row r="38" spans="2:21" x14ac:dyDescent="0.2">
      <c r="B38" s="69"/>
      <c r="G38" s="100"/>
      <c r="I38" s="69"/>
      <c r="N38" s="100"/>
      <c r="P38" s="69"/>
      <c r="U38" s="100"/>
    </row>
    <row r="39" spans="2:21" x14ac:dyDescent="0.2">
      <c r="B39" s="69" t="s">
        <v>461</v>
      </c>
      <c r="C39">
        <v>67.05</v>
      </c>
      <c r="G39" s="100"/>
      <c r="I39" s="69" t="s">
        <v>461</v>
      </c>
      <c r="J39">
        <v>67.05</v>
      </c>
      <c r="N39" s="100"/>
      <c r="P39" s="69" t="s">
        <v>461</v>
      </c>
      <c r="Q39">
        <v>67.05</v>
      </c>
      <c r="U39" s="100"/>
    </row>
    <row r="40" spans="2:21" x14ac:dyDescent="0.2">
      <c r="B40" s="107" t="s">
        <v>460</v>
      </c>
      <c r="C40" s="146">
        <f>(C37-C39)/C39</f>
        <v>4.8945745793055481E-2</v>
      </c>
      <c r="D40" s="147" t="s">
        <v>462</v>
      </c>
      <c r="E40" s="67"/>
      <c r="F40" s="67"/>
      <c r="G40" s="103"/>
      <c r="I40" s="107" t="s">
        <v>460</v>
      </c>
      <c r="J40" s="146">
        <f>(J37-J39)/J39</f>
        <v>0.50833139944157812</v>
      </c>
      <c r="K40" s="147" t="s">
        <v>462</v>
      </c>
      <c r="L40" s="67"/>
      <c r="M40" s="67"/>
      <c r="N40" s="103"/>
      <c r="P40" s="107" t="s">
        <v>460</v>
      </c>
      <c r="Q40" s="108">
        <f>(Q37-Q39)/Q39</f>
        <v>-0.23573916615079857</v>
      </c>
      <c r="R40" s="109" t="s">
        <v>464</v>
      </c>
      <c r="S40" s="67"/>
      <c r="T40" s="67"/>
      <c r="U40" s="103"/>
    </row>
  </sheetData>
  <mergeCells count="3">
    <mergeCell ref="P2:U2"/>
    <mergeCell ref="B2:G2"/>
    <mergeCell ref="I2:N2"/>
  </mergeCells>
  <conditionalFormatting sqref="B15:G26">
    <cfRule type="expression" dxfId="5" priority="8">
      <formula>ISEVEN(ROW())</formula>
    </cfRule>
  </conditionalFormatting>
  <conditionalFormatting sqref="I15:N26">
    <cfRule type="expression" dxfId="4" priority="2">
      <formula>ISEVEN(ROW())</formula>
    </cfRule>
  </conditionalFormatting>
  <conditionalFormatting sqref="P15:U26">
    <cfRule type="expression" dxfId="3" priority="1">
      <formula>ISEVEN(ROW())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B07A-98C5-F645-955B-7B4EF4DED964}">
  <dimension ref="B2:U57"/>
  <sheetViews>
    <sheetView showGridLines="0" tabSelected="1" zoomScale="79" workbookViewId="0">
      <selection activeCell="I43" sqref="I43"/>
    </sheetView>
  </sheetViews>
  <sheetFormatPr baseColWidth="10" defaultColWidth="11.5" defaultRowHeight="15" x14ac:dyDescent="0.2"/>
  <cols>
    <col min="2" max="2" width="22.1640625" bestFit="1" customWidth="1"/>
    <col min="9" max="9" width="30" bestFit="1" customWidth="1"/>
    <col min="16" max="16" width="22.83203125" bestFit="1" customWidth="1"/>
  </cols>
  <sheetData>
    <row r="2" spans="2:21" x14ac:dyDescent="0.2">
      <c r="B2" s="249" t="s">
        <v>469</v>
      </c>
      <c r="C2" s="250"/>
      <c r="D2" s="250"/>
      <c r="E2" s="250"/>
      <c r="F2" s="250"/>
      <c r="G2" s="251"/>
      <c r="I2" s="252" t="s">
        <v>470</v>
      </c>
      <c r="J2" s="253"/>
      <c r="K2" s="253"/>
      <c r="L2" s="253"/>
      <c r="M2" s="253"/>
      <c r="N2" s="254"/>
      <c r="P2" s="255" t="s">
        <v>471</v>
      </c>
      <c r="Q2" s="256"/>
      <c r="R2" s="256"/>
      <c r="S2" s="256"/>
      <c r="T2" s="256"/>
      <c r="U2" s="257"/>
    </row>
    <row r="3" spans="2:21" x14ac:dyDescent="0.2">
      <c r="B3" s="44" t="s">
        <v>146</v>
      </c>
      <c r="G3" s="100"/>
      <c r="I3" s="44" t="s">
        <v>146</v>
      </c>
      <c r="N3" s="100"/>
      <c r="P3" s="44" t="s">
        <v>146</v>
      </c>
      <c r="U3" s="100"/>
    </row>
    <row r="4" spans="2:21" x14ac:dyDescent="0.2">
      <c r="B4" s="112" t="s">
        <v>147</v>
      </c>
      <c r="C4" s="118">
        <f>-AVERAGE('EBAY Income Statement'!$B$25:$G$25)</f>
        <v>0.22365735134384379</v>
      </c>
      <c r="D4" t="s">
        <v>479</v>
      </c>
      <c r="G4" s="100"/>
      <c r="I4" s="112" t="s">
        <v>147</v>
      </c>
      <c r="J4" s="118">
        <f>-AVERAGE('EBAY Income Statement'!$B$25:$G$25)</f>
        <v>0.22365735134384379</v>
      </c>
      <c r="K4" t="s">
        <v>479</v>
      </c>
      <c r="N4" s="100"/>
      <c r="P4" s="112" t="s">
        <v>147</v>
      </c>
      <c r="Q4" s="118">
        <f>-AVERAGE('EBAY Income Statement'!$B$25:$G$25)</f>
        <v>0.22365735134384379</v>
      </c>
      <c r="R4" t="s">
        <v>479</v>
      </c>
      <c r="U4" s="100"/>
    </row>
    <row r="5" spans="2:21" x14ac:dyDescent="0.2">
      <c r="B5" s="69" t="s">
        <v>148</v>
      </c>
      <c r="C5" s="119">
        <v>7.4999999999999997E-2</v>
      </c>
      <c r="D5" t="s">
        <v>149</v>
      </c>
      <c r="G5" s="100"/>
      <c r="I5" s="69" t="s">
        <v>148</v>
      </c>
      <c r="J5" s="148">
        <v>8.5000000000000006E-2</v>
      </c>
      <c r="K5" t="s">
        <v>149</v>
      </c>
      <c r="N5" s="100"/>
      <c r="P5" s="69" t="s">
        <v>148</v>
      </c>
      <c r="Q5" s="159">
        <v>6.5000000000000002E-2</v>
      </c>
      <c r="R5" t="s">
        <v>149</v>
      </c>
      <c r="U5" s="100"/>
    </row>
    <row r="6" spans="2:21" x14ac:dyDescent="0.2">
      <c r="B6" s="69" t="s">
        <v>151</v>
      </c>
      <c r="C6" s="120">
        <f>(AVERAGE('EBAY Income Statement'!$B$6:$G$6)/AVERAGE('EBAY Income Statement'!$B$5:$G$5))</f>
        <v>-0.25336799395781001</v>
      </c>
      <c r="G6" s="100"/>
      <c r="I6" s="69" t="s">
        <v>151</v>
      </c>
      <c r="J6" s="149">
        <v>-0.22</v>
      </c>
      <c r="N6" s="100"/>
      <c r="P6" s="69" t="s">
        <v>151</v>
      </c>
      <c r="Q6" s="160">
        <v>-0.27</v>
      </c>
      <c r="U6" s="100"/>
    </row>
    <row r="7" spans="2:21" ht="14" customHeight="1" x14ac:dyDescent="0.2">
      <c r="B7" s="69" t="s">
        <v>152</v>
      </c>
      <c r="C7" s="120">
        <f>(AVERAGE('EBAY Income Statement'!$B$8:$G$8)/AVERAGE('EBAY Income Statement'!$B$5:$G$5))</f>
        <v>-0.50181792633446332</v>
      </c>
      <c r="G7" s="100"/>
      <c r="I7" s="69" t="s">
        <v>152</v>
      </c>
      <c r="J7" s="149">
        <v>-0.47</v>
      </c>
      <c r="N7" s="100"/>
      <c r="P7" s="69" t="s">
        <v>152</v>
      </c>
      <c r="Q7" s="160">
        <v>-0.52</v>
      </c>
      <c r="U7" s="100"/>
    </row>
    <row r="8" spans="2:21" ht="14" customHeight="1" x14ac:dyDescent="0.2">
      <c r="B8" s="69" t="s">
        <v>482</v>
      </c>
      <c r="C8" s="120">
        <f>'EBAY Income Statement'!$H$19</f>
        <v>-1.7086439503446588E-2</v>
      </c>
      <c r="G8" s="100"/>
      <c r="I8" s="69" t="s">
        <v>482</v>
      </c>
      <c r="J8" s="120">
        <f>'EBAY Income Statement'!$H$19</f>
        <v>-1.7086439503446588E-2</v>
      </c>
      <c r="N8" s="100"/>
      <c r="P8" s="69" t="s">
        <v>482</v>
      </c>
      <c r="Q8" s="120">
        <f>'EBAY Income Statement'!$H$19</f>
        <v>-1.7086439503446588E-2</v>
      </c>
      <c r="U8" s="100"/>
    </row>
    <row r="9" spans="2:21" ht="14" customHeight="1" x14ac:dyDescent="0.2">
      <c r="B9" s="69" t="s">
        <v>478</v>
      </c>
      <c r="C9" s="114">
        <f>-'EBAY Income Statement'!$H$14</f>
        <v>2.0164268662446008E-3</v>
      </c>
      <c r="G9" s="100"/>
      <c r="I9" s="69" t="s">
        <v>478</v>
      </c>
      <c r="J9" s="114">
        <f>-'EBAY Income Statement'!$H$14</f>
        <v>2.0164268662446008E-3</v>
      </c>
      <c r="N9" s="100"/>
      <c r="P9" s="69" t="s">
        <v>478</v>
      </c>
      <c r="Q9" s="114">
        <f>-'EBAY Income Statement'!$H$14</f>
        <v>2.0164268662446008E-3</v>
      </c>
      <c r="U9" s="100"/>
    </row>
    <row r="10" spans="2:21" ht="14" customHeight="1" x14ac:dyDescent="0.2">
      <c r="B10" s="69" t="s">
        <v>477</v>
      </c>
      <c r="C10" s="114">
        <f>'EBAY Balance Sheet'!$H$21</f>
        <v>0.1387583318891272</v>
      </c>
      <c r="G10" s="100"/>
      <c r="I10" s="69" t="s">
        <v>477</v>
      </c>
      <c r="J10" s="114">
        <f>'EBAY Balance Sheet'!$H$21</f>
        <v>0.1387583318891272</v>
      </c>
      <c r="N10" s="100"/>
      <c r="P10" s="69" t="s">
        <v>477</v>
      </c>
      <c r="Q10" s="114">
        <f>'EBAY Balance Sheet'!$H$21</f>
        <v>0.1387583318891272</v>
      </c>
      <c r="U10" s="100"/>
    </row>
    <row r="11" spans="2:21" ht="14" customHeight="1" x14ac:dyDescent="0.2">
      <c r="B11" s="69" t="s">
        <v>481</v>
      </c>
      <c r="C11" s="114">
        <f>'EBAY Cash Flows'!$H$56</f>
        <v>9.2158747043206771E-2</v>
      </c>
      <c r="G11" s="100"/>
      <c r="I11" s="69" t="s">
        <v>481</v>
      </c>
      <c r="J11" s="162">
        <v>0.11</v>
      </c>
      <c r="N11" s="100"/>
      <c r="P11" s="69" t="s">
        <v>481</v>
      </c>
      <c r="Q11" s="114">
        <f>'EBAY Cash Flows'!$H$56</f>
        <v>9.2158747043206771E-2</v>
      </c>
      <c r="U11" s="100"/>
    </row>
    <row r="12" spans="2:21" ht="14" customHeight="1" x14ac:dyDescent="0.2">
      <c r="B12" s="69" t="s">
        <v>480</v>
      </c>
      <c r="C12" s="114">
        <f>'EBAY Cash Flows'!$H$58</f>
        <v>-0.14061722959364278</v>
      </c>
      <c r="G12" s="100"/>
      <c r="I12" s="69" t="s">
        <v>480</v>
      </c>
      <c r="J12" s="114">
        <f>'EBAY Cash Flows'!$H$58</f>
        <v>-0.14061722959364278</v>
      </c>
      <c r="N12" s="100"/>
      <c r="P12" s="69" t="s">
        <v>480</v>
      </c>
      <c r="Q12" s="163">
        <v>-0.16</v>
      </c>
      <c r="U12" s="100"/>
    </row>
    <row r="13" spans="2:21" x14ac:dyDescent="0.2">
      <c r="B13" s="44" t="s">
        <v>429</v>
      </c>
      <c r="C13" s="114">
        <f>'CAPM and WACC'!$B$5</f>
        <v>8.2102732525225652E-2</v>
      </c>
      <c r="G13" s="100"/>
      <c r="I13" s="44" t="s">
        <v>429</v>
      </c>
      <c r="J13" s="114">
        <f>'CAPM and WACC'!$B$5</f>
        <v>8.2102732525225652E-2</v>
      </c>
      <c r="N13" s="100"/>
      <c r="P13" s="44" t="s">
        <v>429</v>
      </c>
      <c r="Q13" s="114">
        <f>'CAPM and WACC'!$B$5</f>
        <v>8.2102732525225652E-2</v>
      </c>
      <c r="U13" s="100"/>
    </row>
    <row r="14" spans="2:21" x14ac:dyDescent="0.2">
      <c r="B14" s="45" t="s">
        <v>434</v>
      </c>
      <c r="C14" s="115">
        <v>2.5000000000000001E-2</v>
      </c>
      <c r="G14" s="100"/>
      <c r="I14" s="45" t="s">
        <v>434</v>
      </c>
      <c r="J14" s="150">
        <v>2.7E-2</v>
      </c>
      <c r="N14" s="100"/>
      <c r="P14" s="45" t="s">
        <v>434</v>
      </c>
      <c r="Q14" s="161">
        <v>2.3E-2</v>
      </c>
      <c r="U14" s="100"/>
    </row>
    <row r="15" spans="2:21" x14ac:dyDescent="0.2">
      <c r="B15" s="44"/>
      <c r="C15" s="101"/>
      <c r="G15" s="100"/>
      <c r="I15" s="44"/>
      <c r="J15" s="101"/>
      <c r="N15" s="100"/>
      <c r="P15" s="44"/>
      <c r="Q15" s="101"/>
      <c r="U15" s="100"/>
    </row>
    <row r="16" spans="2:21" x14ac:dyDescent="0.2">
      <c r="B16" s="166" t="s">
        <v>426</v>
      </c>
      <c r="C16" s="137">
        <v>1</v>
      </c>
      <c r="D16" s="137">
        <v>2</v>
      </c>
      <c r="E16" s="137">
        <v>3</v>
      </c>
      <c r="F16" s="137">
        <v>4</v>
      </c>
      <c r="G16" s="137">
        <v>5</v>
      </c>
      <c r="I16" s="167" t="s">
        <v>426</v>
      </c>
      <c r="J16" s="153">
        <v>1</v>
      </c>
      <c r="K16" s="153">
        <v>2</v>
      </c>
      <c r="L16" s="153">
        <v>3</v>
      </c>
      <c r="M16" s="153">
        <v>4</v>
      </c>
      <c r="N16" s="153">
        <v>5</v>
      </c>
      <c r="P16" s="168" t="s">
        <v>426</v>
      </c>
      <c r="Q16" s="158">
        <v>1</v>
      </c>
      <c r="R16" s="158">
        <v>2</v>
      </c>
      <c r="S16" s="158">
        <v>3</v>
      </c>
      <c r="T16" s="158">
        <v>4</v>
      </c>
      <c r="U16" s="158">
        <v>5</v>
      </c>
    </row>
    <row r="17" spans="2:21" x14ac:dyDescent="0.2">
      <c r="B17" s="166" t="s">
        <v>425</v>
      </c>
      <c r="C17" s="137">
        <v>2025</v>
      </c>
      <c r="D17" s="137">
        <v>2026</v>
      </c>
      <c r="E17" s="137">
        <v>2027</v>
      </c>
      <c r="F17" s="137">
        <v>2028</v>
      </c>
      <c r="G17" s="137">
        <v>2029</v>
      </c>
      <c r="I17" s="167" t="s">
        <v>425</v>
      </c>
      <c r="J17" s="153">
        <v>2025</v>
      </c>
      <c r="K17" s="153">
        <v>2026</v>
      </c>
      <c r="L17" s="153">
        <v>2027</v>
      </c>
      <c r="M17" s="153">
        <v>2028</v>
      </c>
      <c r="N17" s="153">
        <v>2029</v>
      </c>
      <c r="P17" s="168" t="s">
        <v>425</v>
      </c>
      <c r="Q17" s="158">
        <v>2025</v>
      </c>
      <c r="R17" s="158">
        <v>2026</v>
      </c>
      <c r="S17" s="158">
        <v>2027</v>
      </c>
      <c r="T17" s="158">
        <v>2028</v>
      </c>
      <c r="U17" s="158">
        <v>2029</v>
      </c>
    </row>
    <row r="18" spans="2:21" x14ac:dyDescent="0.2">
      <c r="B18" s="44" t="s">
        <v>454</v>
      </c>
      <c r="C18" s="80">
        <f>'EBAY Income Statement'!$G$5*(1+$C$5)</f>
        <v>11054.225</v>
      </c>
      <c r="D18" s="79">
        <f>C18*(1+$C$5)</f>
        <v>11883.291875000001</v>
      </c>
      <c r="E18" s="79">
        <f>D18*(1+$C$5)</f>
        <v>12774.538765625</v>
      </c>
      <c r="F18" s="79">
        <f>E18*(1+$C$5)</f>
        <v>13732.629173046875</v>
      </c>
      <c r="G18" s="126">
        <f>F18*(1+$C$5)</f>
        <v>14762.576361025389</v>
      </c>
      <c r="I18" s="82" t="s">
        <v>454</v>
      </c>
      <c r="J18" s="80">
        <f>'EBAY Income Statement'!$G$5*(1+$J$5)</f>
        <v>11157.055</v>
      </c>
      <c r="K18" s="79">
        <f>J18*(1+$J$5)</f>
        <v>12105.404675</v>
      </c>
      <c r="L18" s="79">
        <f t="shared" ref="L18:N18" si="0">K18*(1+$J$5)</f>
        <v>13134.364072375</v>
      </c>
      <c r="M18" s="79">
        <f t="shared" si="0"/>
        <v>14250.785018526874</v>
      </c>
      <c r="N18" s="126">
        <f t="shared" si="0"/>
        <v>15462.101745101658</v>
      </c>
      <c r="P18" s="44" t="s">
        <v>454</v>
      </c>
      <c r="Q18" s="80">
        <f>'EBAY Income Statement'!$G$5*(1+$Q$5)</f>
        <v>10951.394999999999</v>
      </c>
      <c r="R18" s="79">
        <f>Q18*(1+$Q$5)</f>
        <v>11663.235674999998</v>
      </c>
      <c r="S18" s="79">
        <f t="shared" ref="S18:U18" si="1">R18*(1+$Q$5)</f>
        <v>12421.345993874997</v>
      </c>
      <c r="T18" s="79">
        <f t="shared" si="1"/>
        <v>13228.73348347687</v>
      </c>
      <c r="U18" s="126">
        <f t="shared" si="1"/>
        <v>14088.601159902866</v>
      </c>
    </row>
    <row r="19" spans="2:21" x14ac:dyDescent="0.2">
      <c r="B19" s="45" t="s">
        <v>100</v>
      </c>
      <c r="C19" s="133">
        <f>C18*$C$6</f>
        <v>-2800.7868130082725</v>
      </c>
      <c r="D19" s="169">
        <f>D18*$C$6</f>
        <v>-3010.8458239838928</v>
      </c>
      <c r="E19" s="169">
        <f>E18*$C$6</f>
        <v>-3236.6592607826847</v>
      </c>
      <c r="F19" s="169">
        <f>F18*$C$6</f>
        <v>-3479.4087053413859</v>
      </c>
      <c r="G19" s="170">
        <f>G18*$C$6</f>
        <v>-3740.3643582419895</v>
      </c>
      <c r="I19" s="175" t="s">
        <v>100</v>
      </c>
      <c r="J19" s="133">
        <f>J18*$J$6</f>
        <v>-2454.5520999999999</v>
      </c>
      <c r="K19" s="169">
        <f t="shared" ref="K19:N19" si="2">K18*$J$6</f>
        <v>-2663.1890284999999</v>
      </c>
      <c r="L19" s="169">
        <f t="shared" si="2"/>
        <v>-2889.5600959224998</v>
      </c>
      <c r="M19" s="169">
        <f t="shared" si="2"/>
        <v>-3135.1727040759124</v>
      </c>
      <c r="N19" s="170">
        <f t="shared" si="2"/>
        <v>-3401.6623839223648</v>
      </c>
      <c r="P19" s="45" t="s">
        <v>100</v>
      </c>
      <c r="Q19" s="133">
        <f>Q18*$Q$6</f>
        <v>-2956.8766499999997</v>
      </c>
      <c r="R19" s="169">
        <f t="shared" ref="R19:U19" si="3">R18*$Q$6</f>
        <v>-3149.0736322499997</v>
      </c>
      <c r="S19" s="169">
        <f t="shared" si="3"/>
        <v>-3353.7634183462492</v>
      </c>
      <c r="T19" s="169">
        <f t="shared" si="3"/>
        <v>-3571.7580405387553</v>
      </c>
      <c r="U19" s="170">
        <f t="shared" si="3"/>
        <v>-3803.922313173774</v>
      </c>
    </row>
    <row r="20" spans="2:21" x14ac:dyDescent="0.2">
      <c r="B20" s="44" t="s">
        <v>144</v>
      </c>
      <c r="C20" s="75">
        <f t="shared" ref="C20:G20" si="4">SUM(C18:C19)</f>
        <v>8253.438186991727</v>
      </c>
      <c r="D20" s="76">
        <f t="shared" si="4"/>
        <v>8872.446051016108</v>
      </c>
      <c r="E20" s="76">
        <f t="shared" si="4"/>
        <v>9537.8795048423162</v>
      </c>
      <c r="F20" s="76">
        <f t="shared" si="4"/>
        <v>10253.220467705489</v>
      </c>
      <c r="G20" s="123">
        <f t="shared" si="4"/>
        <v>11022.212002783399</v>
      </c>
      <c r="I20" s="82" t="s">
        <v>144</v>
      </c>
      <c r="J20" s="75">
        <f t="shared" ref="J20:N20" si="5">SUM(J18:J19)</f>
        <v>8702.5028999999995</v>
      </c>
      <c r="K20" s="76">
        <f t="shared" si="5"/>
        <v>9442.2156465000007</v>
      </c>
      <c r="L20" s="76">
        <f t="shared" si="5"/>
        <v>10244.8039764525</v>
      </c>
      <c r="M20" s="76">
        <f t="shared" si="5"/>
        <v>11115.612314450962</v>
      </c>
      <c r="N20" s="123">
        <f t="shared" si="5"/>
        <v>12060.439361179293</v>
      </c>
      <c r="P20" s="44" t="s">
        <v>144</v>
      </c>
      <c r="Q20" s="75">
        <f t="shared" ref="Q20:U20" si="6">SUM(Q18:Q19)</f>
        <v>7994.5183499999985</v>
      </c>
      <c r="R20" s="76">
        <f t="shared" si="6"/>
        <v>8514.1620427499984</v>
      </c>
      <c r="S20" s="76">
        <f t="shared" si="6"/>
        <v>9067.5825755287478</v>
      </c>
      <c r="T20" s="76">
        <f t="shared" si="6"/>
        <v>9656.9754429381137</v>
      </c>
      <c r="U20" s="123">
        <f t="shared" si="6"/>
        <v>10284.678846729092</v>
      </c>
    </row>
    <row r="21" spans="2:21" x14ac:dyDescent="0.2">
      <c r="B21" s="45" t="s">
        <v>102</v>
      </c>
      <c r="C21" s="99">
        <f>C18*$C$7</f>
        <v>-5547.208266734583</v>
      </c>
      <c r="D21" s="98">
        <f>D18*$C$7</f>
        <v>-5963.2488867396769</v>
      </c>
      <c r="E21" s="98">
        <f>E18*$C$7</f>
        <v>-6410.4925532451525</v>
      </c>
      <c r="F21" s="98">
        <f>F18*$C$7</f>
        <v>-6891.2794947385382</v>
      </c>
      <c r="G21" s="132">
        <f>G18*$C$7</f>
        <v>-7408.1254568439281</v>
      </c>
      <c r="I21" s="175" t="s">
        <v>102</v>
      </c>
      <c r="J21" s="99">
        <f>J18*$J$7</f>
        <v>-5243.81585</v>
      </c>
      <c r="K21" s="98">
        <f t="shared" ref="K21:N21" si="7">K18*$J$7</f>
        <v>-5689.5401972499994</v>
      </c>
      <c r="L21" s="98">
        <f t="shared" si="7"/>
        <v>-6173.1511140162493</v>
      </c>
      <c r="M21" s="98">
        <f t="shared" si="7"/>
        <v>-6697.8689587076306</v>
      </c>
      <c r="N21" s="132">
        <f t="shared" si="7"/>
        <v>-7267.1878201977788</v>
      </c>
      <c r="P21" s="45" t="s">
        <v>102</v>
      </c>
      <c r="Q21" s="99">
        <f>Q18*$Q$7</f>
        <v>-5694.7253999999994</v>
      </c>
      <c r="R21" s="98">
        <f t="shared" ref="R21:U21" si="8">R18*$Q$7</f>
        <v>-6064.8825509999988</v>
      </c>
      <c r="S21" s="98">
        <f t="shared" si="8"/>
        <v>-6459.0999168149983</v>
      </c>
      <c r="T21" s="98">
        <f t="shared" si="8"/>
        <v>-6878.9414114079727</v>
      </c>
      <c r="U21" s="132">
        <f t="shared" si="8"/>
        <v>-7326.0726031494905</v>
      </c>
    </row>
    <row r="22" spans="2:21" x14ac:dyDescent="0.2">
      <c r="B22" s="44" t="s">
        <v>101</v>
      </c>
      <c r="C22" s="80">
        <f t="shared" ref="C22:G22" si="9">SUM(C20:C21)</f>
        <v>2706.2299202571439</v>
      </c>
      <c r="D22" s="79">
        <f t="shared" si="9"/>
        <v>2909.1971642764311</v>
      </c>
      <c r="E22" s="79">
        <f t="shared" si="9"/>
        <v>3127.3869515971637</v>
      </c>
      <c r="F22" s="79">
        <f t="shared" si="9"/>
        <v>3361.9409729669505</v>
      </c>
      <c r="G22" s="126">
        <f t="shared" si="9"/>
        <v>3614.0865459394709</v>
      </c>
      <c r="I22" s="82" t="s">
        <v>101</v>
      </c>
      <c r="J22" s="80">
        <f t="shared" ref="J22:N22" si="10">SUM(J20:J21)</f>
        <v>3458.6870499999995</v>
      </c>
      <c r="K22" s="79">
        <f t="shared" si="10"/>
        <v>3752.6754492500013</v>
      </c>
      <c r="L22" s="79">
        <f t="shared" si="10"/>
        <v>4071.6528624362509</v>
      </c>
      <c r="M22" s="79">
        <f t="shared" si="10"/>
        <v>4417.7433557433314</v>
      </c>
      <c r="N22" s="126">
        <f t="shared" si="10"/>
        <v>4793.2515409815142</v>
      </c>
      <c r="P22" s="44" t="s">
        <v>101</v>
      </c>
      <c r="Q22" s="80">
        <f t="shared" ref="Q22:U22" si="11">SUM(Q20:Q21)</f>
        <v>2299.7929499999991</v>
      </c>
      <c r="R22" s="79">
        <f t="shared" si="11"/>
        <v>2449.2794917499996</v>
      </c>
      <c r="S22" s="79">
        <f t="shared" si="11"/>
        <v>2608.4826587137495</v>
      </c>
      <c r="T22" s="79">
        <f t="shared" si="11"/>
        <v>2778.034031530141</v>
      </c>
      <c r="U22" s="126">
        <f t="shared" si="11"/>
        <v>2958.6062435796011</v>
      </c>
    </row>
    <row r="23" spans="2:21" x14ac:dyDescent="0.2">
      <c r="B23" s="127" t="s">
        <v>455</v>
      </c>
      <c r="C23" s="80">
        <f>-C22*($C$4)</f>
        <v>-605.26821609217438</v>
      </c>
      <c r="D23" s="79">
        <f>-D22*($C$4)</f>
        <v>-650.66333229908776</v>
      </c>
      <c r="E23" s="79">
        <f>-E22*($C$4)</f>
        <v>-699.46308222151947</v>
      </c>
      <c r="F23" s="79">
        <f>-F22*($C$4)</f>
        <v>-751.92281338813325</v>
      </c>
      <c r="G23" s="126">
        <f>-G22*($C$4)</f>
        <v>-808.31702439224307</v>
      </c>
      <c r="I23" s="176" t="s">
        <v>455</v>
      </c>
      <c r="J23" s="80">
        <f>-J22*($C$4)</f>
        <v>-773.56078473025252</v>
      </c>
      <c r="K23" s="79">
        <f>-K22*($C$4)</f>
        <v>-839.31345143232443</v>
      </c>
      <c r="L23" s="79">
        <f>-L22*($C$4)</f>
        <v>-910.65509480407184</v>
      </c>
      <c r="M23" s="79">
        <f>-M22*($C$4)</f>
        <v>-988.06077786241781</v>
      </c>
      <c r="N23" s="126">
        <f>-N22*($C$4)</f>
        <v>-1072.0459439807232</v>
      </c>
      <c r="P23" s="127" t="s">
        <v>455</v>
      </c>
      <c r="Q23" s="80">
        <f>-Q22*($C$4)</f>
        <v>-514.36559983624477</v>
      </c>
      <c r="R23" s="79">
        <f>-R22*($C$4)</f>
        <v>-547.79936382560084</v>
      </c>
      <c r="S23" s="79">
        <f>-S22*($C$4)</f>
        <v>-583.40632247426481</v>
      </c>
      <c r="T23" s="79">
        <f>-T22*($C$4)</f>
        <v>-621.32773343509155</v>
      </c>
      <c r="U23" s="126">
        <f>-U22*($C$4)</f>
        <v>-661.71403610837274</v>
      </c>
    </row>
    <row r="24" spans="2:21" x14ac:dyDescent="0.2">
      <c r="B24" s="127" t="s">
        <v>453</v>
      </c>
      <c r="C24" s="75">
        <f>$C$8*C18</f>
        <v>-188.87734671998686</v>
      </c>
      <c r="D24" s="76">
        <f t="shared" ref="D24:G24" si="12">$C$8*D18</f>
        <v>-203.0431477239859</v>
      </c>
      <c r="E24" s="76">
        <f t="shared" si="12"/>
        <v>-218.27138380328483</v>
      </c>
      <c r="F24" s="76">
        <f t="shared" si="12"/>
        <v>-234.64173758853119</v>
      </c>
      <c r="G24" s="123">
        <f t="shared" si="12"/>
        <v>-252.239867907671</v>
      </c>
      <c r="I24" s="176" t="s">
        <v>453</v>
      </c>
      <c r="J24" s="75">
        <f>$J$8*J18</f>
        <v>-190.63434529412629</v>
      </c>
      <c r="K24" s="76">
        <f t="shared" ref="K24:N24" si="13">$J$8*K18</f>
        <v>-206.83826464412701</v>
      </c>
      <c r="L24" s="76">
        <f t="shared" si="13"/>
        <v>-224.41951713887781</v>
      </c>
      <c r="M24" s="76">
        <f t="shared" si="13"/>
        <v>-243.49517609568241</v>
      </c>
      <c r="N24" s="123">
        <f t="shared" si="13"/>
        <v>-264.1922660638154</v>
      </c>
      <c r="P24" s="127" t="s">
        <v>453</v>
      </c>
      <c r="Q24" s="75">
        <f>$Q$8*Q18</f>
        <v>-187.12034814584743</v>
      </c>
      <c r="R24" s="76">
        <f t="shared" ref="R24:U24" si="14">$Q$8*R18</f>
        <v>-199.28317077532751</v>
      </c>
      <c r="S24" s="76">
        <f t="shared" si="14"/>
        <v>-212.23657687572376</v>
      </c>
      <c r="T24" s="76">
        <f t="shared" si="14"/>
        <v>-226.0319543726458</v>
      </c>
      <c r="U24" s="123">
        <f t="shared" si="14"/>
        <v>-240.72403140686777</v>
      </c>
    </row>
    <row r="25" spans="2:21" x14ac:dyDescent="0.2">
      <c r="B25" s="164" t="s">
        <v>456</v>
      </c>
      <c r="C25" s="171">
        <f t="shared" ref="C25:G25" si="15">SUM(C22:C24)</f>
        <v>1912.0843574449825</v>
      </c>
      <c r="D25" s="172">
        <f t="shared" si="15"/>
        <v>2055.4906842533574</v>
      </c>
      <c r="E25" s="172">
        <f t="shared" si="15"/>
        <v>2209.6524855723592</v>
      </c>
      <c r="F25" s="172">
        <f t="shared" si="15"/>
        <v>2375.376421990286</v>
      </c>
      <c r="G25" s="173">
        <f t="shared" si="15"/>
        <v>2553.5296536395567</v>
      </c>
      <c r="I25" s="177" t="s">
        <v>456</v>
      </c>
      <c r="J25" s="171">
        <f t="shared" ref="J25" si="16">SUM(J22:J24)</f>
        <v>2494.4919199756205</v>
      </c>
      <c r="K25" s="172">
        <f t="shared" ref="K25" si="17">SUM(K22:K24)</f>
        <v>2706.5237331735498</v>
      </c>
      <c r="L25" s="172">
        <f t="shared" ref="L25" si="18">SUM(L22:L24)</f>
        <v>2936.5782504933013</v>
      </c>
      <c r="M25" s="172">
        <f t="shared" ref="M25" si="19">SUM(M22:M24)</f>
        <v>3186.187401785231</v>
      </c>
      <c r="N25" s="173">
        <f t="shared" ref="N25" si="20">SUM(N22:N24)</f>
        <v>3457.0133309369758</v>
      </c>
      <c r="P25" s="164" t="s">
        <v>456</v>
      </c>
      <c r="Q25" s="171">
        <f t="shared" ref="Q25" si="21">SUM(Q22:Q24)</f>
        <v>1598.3070020179071</v>
      </c>
      <c r="R25" s="172">
        <f t="shared" ref="R25" si="22">SUM(R22:R24)</f>
        <v>1702.1969571490713</v>
      </c>
      <c r="S25" s="172">
        <f t="shared" ref="S25" si="23">SUM(S22:S24)</f>
        <v>1812.8397593637608</v>
      </c>
      <c r="T25" s="172">
        <f t="shared" ref="T25" si="24">SUM(T22:T24)</f>
        <v>1930.6743437224038</v>
      </c>
      <c r="U25" s="173">
        <f t="shared" ref="U25" si="25">SUM(U22:U24)</f>
        <v>2056.1681760643605</v>
      </c>
    </row>
    <row r="26" spans="2:21" x14ac:dyDescent="0.2">
      <c r="B26" s="127" t="s">
        <v>347</v>
      </c>
      <c r="C26" s="80">
        <f>$C$9*C18</f>
        <v>22.290036275512723</v>
      </c>
      <c r="D26" s="79">
        <f t="shared" ref="D26:G26" si="26">$C$9*D18</f>
        <v>23.961788996176178</v>
      </c>
      <c r="E26" s="79">
        <f t="shared" si="26"/>
        <v>25.758923170889389</v>
      </c>
      <c r="F26" s="79">
        <f t="shared" si="26"/>
        <v>27.690842408706093</v>
      </c>
      <c r="G26" s="126">
        <f t="shared" si="26"/>
        <v>29.767655589359048</v>
      </c>
      <c r="I26" s="176" t="s">
        <v>347</v>
      </c>
      <c r="J26" s="80">
        <f>$C$9*J18</f>
        <v>22.497385450168654</v>
      </c>
      <c r="K26" s="79">
        <f t="shared" ref="K26:N26" si="27">$C$9*K18</f>
        <v>24.409663213432989</v>
      </c>
      <c r="L26" s="79">
        <f t="shared" si="27"/>
        <v>26.484484586574794</v>
      </c>
      <c r="M26" s="79">
        <f t="shared" si="27"/>
        <v>28.735665776433649</v>
      </c>
      <c r="N26" s="126">
        <f t="shared" si="27"/>
        <v>31.17819736743051</v>
      </c>
      <c r="P26" s="127" t="s">
        <v>347</v>
      </c>
      <c r="Q26" s="80">
        <f>$Q$9*Q18</f>
        <v>22.082687100856788</v>
      </c>
      <c r="R26" s="79">
        <f t="shared" ref="R26:U26" si="28">$Q$9*R18</f>
        <v>23.518061762412476</v>
      </c>
      <c r="S26" s="79">
        <f t="shared" si="28"/>
        <v>25.046735776969285</v>
      </c>
      <c r="T26" s="79">
        <f t="shared" si="28"/>
        <v>26.674773602472285</v>
      </c>
      <c r="U26" s="126">
        <f t="shared" si="28"/>
        <v>28.408633886632984</v>
      </c>
    </row>
    <row r="27" spans="2:21" x14ac:dyDescent="0.2">
      <c r="B27" s="127" t="s">
        <v>346</v>
      </c>
      <c r="C27" s="75">
        <v>-301.37</v>
      </c>
      <c r="D27" s="76" cm="1">
        <f t="array" ref="D27:G27">-'EBAY Balance Sheet'!$R$5:$U$5</f>
        <v>-346.03867332275604</v>
      </c>
      <c r="E27" s="76">
        <v>-371.99157382196336</v>
      </c>
      <c r="F27" s="76">
        <v>-399.89094185861086</v>
      </c>
      <c r="G27" s="123">
        <v>-429.88276249800583</v>
      </c>
      <c r="I27" s="176" t="s">
        <v>346</v>
      </c>
      <c r="J27" s="75">
        <v>-301.37</v>
      </c>
      <c r="K27" s="76" cm="1">
        <f t="array" ref="K27:N27">-'EBAY Balance Sheet'!$R$5:$U$5</f>
        <v>-346.03867332275604</v>
      </c>
      <c r="L27" s="76">
        <v>-371.99157382196336</v>
      </c>
      <c r="M27" s="76">
        <v>-399.89094185861086</v>
      </c>
      <c r="N27" s="123">
        <v>-429.88276249800583</v>
      </c>
      <c r="P27" s="127" t="s">
        <v>346</v>
      </c>
      <c r="Q27" s="75">
        <v>-301.37</v>
      </c>
      <c r="R27" s="76" cm="1">
        <f t="array" ref="R27:U27">-'EBAY Balance Sheet'!$R$5:$U$5</f>
        <v>-346.03867332275604</v>
      </c>
      <c r="S27" s="76">
        <v>-371.99157382196336</v>
      </c>
      <c r="T27" s="76">
        <v>-399.89094185861086</v>
      </c>
      <c r="U27" s="123">
        <v>-429.88276249800583</v>
      </c>
    </row>
    <row r="28" spans="2:21" x14ac:dyDescent="0.2">
      <c r="B28" s="127" t="s">
        <v>348</v>
      </c>
      <c r="C28" s="75" cm="1">
        <f t="array" ref="C28:G28">-'EBAY Balance Sheet'!H20:L20</f>
        <v>-270.86582132708713</v>
      </c>
      <c r="D28" s="76">
        <v>-115.03993659953176</v>
      </c>
      <c r="E28" s="76">
        <v>-123.66793184449625</v>
      </c>
      <c r="F28" s="76">
        <v>-132.94302673283346</v>
      </c>
      <c r="G28" s="123">
        <v>-142.91375373779579</v>
      </c>
      <c r="I28" s="176" t="s">
        <v>348</v>
      </c>
      <c r="J28" s="75" cm="1">
        <f t="array" ref="J28:N28">-'EBAY Balance Sheet'!H23:L23</f>
        <v>-285.13434059524616</v>
      </c>
      <c r="K28" s="76">
        <v>-131.59141895059588</v>
      </c>
      <c r="L28" s="76">
        <v>-142.77668956139655</v>
      </c>
      <c r="M28" s="76">
        <v>-154.9127081741151</v>
      </c>
      <c r="N28" s="123">
        <v>-168.08028836891503</v>
      </c>
      <c r="P28" s="127" t="s">
        <v>348</v>
      </c>
      <c r="Q28" s="75" cm="1">
        <f t="array" ref="Q28:U28">-'EBAY Balance Sheet'!H26:L26</f>
        <v>-256.59730205892788</v>
      </c>
      <c r="R28" s="76">
        <v>-98.773824633830372</v>
      </c>
      <c r="S28" s="76">
        <v>-105.19412323502911</v>
      </c>
      <c r="T28" s="76">
        <v>-112.03174124530597</v>
      </c>
      <c r="U28" s="123">
        <v>-119.31380442625095</v>
      </c>
    </row>
    <row r="29" spans="2:21" x14ac:dyDescent="0.2">
      <c r="B29" s="127" t="s">
        <v>459</v>
      </c>
      <c r="C29" s="75">
        <f>$C$11*C18</f>
        <v>1018.7435255336924</v>
      </c>
      <c r="D29" s="76">
        <f t="shared" ref="D29:G29" si="29">$C$11*D18</f>
        <v>1095.1492899487193</v>
      </c>
      <c r="E29" s="76">
        <f t="shared" si="29"/>
        <v>1177.2854866948733</v>
      </c>
      <c r="F29" s="76">
        <f t="shared" si="29"/>
        <v>1265.5818981969887</v>
      </c>
      <c r="G29" s="123">
        <f t="shared" si="29"/>
        <v>1360.5005405617628</v>
      </c>
      <c r="I29" s="176" t="s">
        <v>459</v>
      </c>
      <c r="J29" s="75">
        <f>$J$11*J18</f>
        <v>1227.2760499999999</v>
      </c>
      <c r="K29" s="76">
        <f t="shared" ref="K29:N29" si="30">$J$11*K18</f>
        <v>1331.59451425</v>
      </c>
      <c r="L29" s="76">
        <f t="shared" si="30"/>
        <v>1444.7800479612499</v>
      </c>
      <c r="M29" s="76">
        <f t="shared" si="30"/>
        <v>1567.5863520379562</v>
      </c>
      <c r="N29" s="123">
        <f t="shared" si="30"/>
        <v>1700.8311919611824</v>
      </c>
      <c r="P29" s="127" t="s">
        <v>459</v>
      </c>
      <c r="Q29" s="75">
        <f>$Q$11*Q18</f>
        <v>1009.2668415752393</v>
      </c>
      <c r="R29" s="76">
        <f t="shared" ref="R29:U29" si="31">$Q$11*R18</f>
        <v>1074.8691862776298</v>
      </c>
      <c r="S29" s="76">
        <f t="shared" si="31"/>
        <v>1144.7356833856757</v>
      </c>
      <c r="T29" s="76">
        <f t="shared" si="31"/>
        <v>1219.1435028057444</v>
      </c>
      <c r="U29" s="123">
        <f t="shared" si="31"/>
        <v>1298.3878304881177</v>
      </c>
    </row>
    <row r="30" spans="2:21" ht="16" thickBot="1" x14ac:dyDescent="0.25">
      <c r="B30" s="165" t="s">
        <v>349</v>
      </c>
      <c r="C30" s="174">
        <f>$C$12*C18</f>
        <v>-1554.414494804786</v>
      </c>
      <c r="D30" s="87">
        <f t="shared" ref="D30:G30" si="32">$C$12*D18</f>
        <v>-1670.9955819151451</v>
      </c>
      <c r="E30" s="87">
        <f t="shared" si="32"/>
        <v>-1796.3202505587808</v>
      </c>
      <c r="F30" s="87">
        <f t="shared" si="32"/>
        <v>-1931.0442693506893</v>
      </c>
      <c r="G30" s="134">
        <f t="shared" si="32"/>
        <v>-2075.8725895519906</v>
      </c>
      <c r="I30" s="178" t="s">
        <v>349</v>
      </c>
      <c r="J30" s="174">
        <f>$C$12*J18</f>
        <v>-1568.8741645239002</v>
      </c>
      <c r="K30" s="87">
        <f t="shared" ref="K30:N30" si="33">$C$12*K18</f>
        <v>-1702.2284685084317</v>
      </c>
      <c r="L30" s="87">
        <f t="shared" si="33"/>
        <v>-1846.9178883316483</v>
      </c>
      <c r="M30" s="87">
        <f t="shared" si="33"/>
        <v>-2003.9059088398385</v>
      </c>
      <c r="N30" s="134">
        <f t="shared" si="33"/>
        <v>-2174.2379110912248</v>
      </c>
      <c r="P30" s="165" t="s">
        <v>349</v>
      </c>
      <c r="Q30" s="174">
        <f>$Q$12*Q18</f>
        <v>-1752.2231999999999</v>
      </c>
      <c r="R30" s="87">
        <f t="shared" ref="R30:U30" si="34">$Q$12*R18</f>
        <v>-1866.1177079999998</v>
      </c>
      <c r="S30" s="87">
        <f t="shared" si="34"/>
        <v>-1987.4153590199994</v>
      </c>
      <c r="T30" s="87">
        <f t="shared" si="34"/>
        <v>-2116.5973573562992</v>
      </c>
      <c r="U30" s="134">
        <f t="shared" si="34"/>
        <v>-2254.1761855844588</v>
      </c>
    </row>
    <row r="31" spans="2:21" ht="16" thickTop="1" x14ac:dyDescent="0.2">
      <c r="B31" s="44" t="s">
        <v>424</v>
      </c>
      <c r="C31" s="82">
        <f>SUM(C25:C30)</f>
        <v>826.46760312231436</v>
      </c>
      <c r="D31" s="121">
        <f t="shared" ref="D31:G31" si="35">SUM(D25:D30)</f>
        <v>1042.5275713608198</v>
      </c>
      <c r="E31" s="121">
        <f t="shared" si="35"/>
        <v>1120.7171392128814</v>
      </c>
      <c r="F31" s="121">
        <f t="shared" si="35"/>
        <v>1204.770924653847</v>
      </c>
      <c r="G31" s="128">
        <f t="shared" si="35"/>
        <v>1295.1287440028864</v>
      </c>
      <c r="I31" s="82" t="s">
        <v>424</v>
      </c>
      <c r="J31" s="82">
        <f>SUM(J25:J30)</f>
        <v>1588.8868503066428</v>
      </c>
      <c r="K31" s="121">
        <f t="shared" ref="K31" si="36">SUM(K25:K30)</f>
        <v>1882.6693498551988</v>
      </c>
      <c r="L31" s="121">
        <f t="shared" ref="L31" si="37">SUM(L25:L30)</f>
        <v>2046.1566313261171</v>
      </c>
      <c r="M31" s="121">
        <f t="shared" ref="M31" si="38">SUM(M25:M30)</f>
        <v>2223.7998607270561</v>
      </c>
      <c r="N31" s="128">
        <f t="shared" ref="N31" si="39">SUM(N25:N30)</f>
        <v>2416.8217583074434</v>
      </c>
      <c r="P31" s="44" t="s">
        <v>424</v>
      </c>
      <c r="Q31" s="82">
        <f>SUM(Q25:Q30)</f>
        <v>319.46602863507542</v>
      </c>
      <c r="R31" s="121">
        <f t="shared" ref="R31" si="40">SUM(R25:R30)</f>
        <v>489.65399923252744</v>
      </c>
      <c r="S31" s="121">
        <f t="shared" ref="S31" si="41">SUM(S25:S30)</f>
        <v>518.02112244941372</v>
      </c>
      <c r="T31" s="121">
        <f t="shared" ref="T31" si="42">SUM(T25:T30)</f>
        <v>547.97257967040468</v>
      </c>
      <c r="U31" s="128">
        <f t="shared" ref="U31" si="43">SUM(U25:U30)</f>
        <v>579.59188793039584</v>
      </c>
    </row>
    <row r="32" spans="2:21" x14ac:dyDescent="0.2">
      <c r="B32" s="44" t="s">
        <v>433</v>
      </c>
      <c r="C32" s="80">
        <f>-PV($C$13,C16,0,C31)</f>
        <v>763.76075790294522</v>
      </c>
      <c r="D32" s="79">
        <f>-PV($C$13,D16,0,D31)</f>
        <v>890.32908701764472</v>
      </c>
      <c r="E32" s="79">
        <f>-PV($C$13,E16,0,E31)</f>
        <v>884.48512306261694</v>
      </c>
      <c r="F32" s="79">
        <f>-PV($C$13,F16,0,F31)</f>
        <v>878.67951786190258</v>
      </c>
      <c r="G32" s="126">
        <f>-PV($C$13,G16,0,G31)</f>
        <v>872.91201963536867</v>
      </c>
      <c r="I32" s="82" t="s">
        <v>433</v>
      </c>
      <c r="J32" s="80">
        <f>-PV($C$13,J16,0,J31)</f>
        <v>1468.3327216065441</v>
      </c>
      <c r="K32" s="79">
        <f>-PV($C$13,K16,0,K31)</f>
        <v>1607.8186605892163</v>
      </c>
      <c r="L32" s="79">
        <f>-PV($C$13,L16,0,L31)</f>
        <v>1614.8544860614447</v>
      </c>
      <c r="M32" s="79">
        <f>-PV($C$13,M16,0,M31)</f>
        <v>1621.891223849412</v>
      </c>
      <c r="N32" s="126">
        <f>-PV($C$13,N16,0,N31)</f>
        <v>1628.9289940569427</v>
      </c>
      <c r="P32" s="44" t="s">
        <v>433</v>
      </c>
      <c r="Q32" s="80">
        <f>-PV($C$13,Q16,0,Q31)</f>
        <v>295.22707875393718</v>
      </c>
      <c r="R32" s="79">
        <f>-PV($C$13,R16,0,R31)</f>
        <v>418.16946627337768</v>
      </c>
      <c r="S32" s="79">
        <f>-PV($C$13,S16,0,S31)</f>
        <v>408.82927565514143</v>
      </c>
      <c r="T32" s="79">
        <f>-PV($C$13,T16,0,T31)</f>
        <v>399.65463330273832</v>
      </c>
      <c r="U32" s="126">
        <f>-PV($C$13,U16,0,U31)</f>
        <v>390.64280504955769</v>
      </c>
    </row>
    <row r="33" spans="2:21" x14ac:dyDescent="0.2">
      <c r="B33" s="112"/>
      <c r="C33" s="33"/>
      <c r="D33" s="33"/>
      <c r="E33" s="33"/>
      <c r="F33" s="33"/>
      <c r="G33" s="74"/>
      <c r="I33" s="112"/>
      <c r="J33" s="33"/>
      <c r="K33" s="33"/>
      <c r="L33" s="33"/>
      <c r="M33" s="33"/>
      <c r="N33" s="74"/>
      <c r="P33" s="112"/>
      <c r="Q33" s="33"/>
      <c r="R33" s="33"/>
      <c r="S33" s="33"/>
      <c r="T33" s="33"/>
      <c r="U33" s="74"/>
    </row>
    <row r="34" spans="2:21" x14ac:dyDescent="0.2">
      <c r="B34" s="69" t="s">
        <v>443</v>
      </c>
      <c r="C34" s="84">
        <f>SUM(C32:G32)</f>
        <v>4290.166505480478</v>
      </c>
      <c r="G34" s="100"/>
      <c r="I34" s="69" t="s">
        <v>443</v>
      </c>
      <c r="J34" s="84">
        <f>SUM(J32:N32)</f>
        <v>7941.8260861635599</v>
      </c>
      <c r="N34" s="100"/>
      <c r="P34" s="69" t="s">
        <v>443</v>
      </c>
      <c r="Q34" s="84">
        <f>SUM(Q32:U32)</f>
        <v>1912.5232590347523</v>
      </c>
      <c r="U34" s="100"/>
    </row>
    <row r="35" spans="2:21" x14ac:dyDescent="0.2">
      <c r="B35" s="69" t="s">
        <v>444</v>
      </c>
      <c r="C35" s="84">
        <f>-PV(C13,6,0,G31/(C13-C14))</f>
        <v>14126.842034079518</v>
      </c>
      <c r="G35" s="100"/>
      <c r="I35" s="69" t="s">
        <v>444</v>
      </c>
      <c r="J35" s="84">
        <f>-PV(J13,6,0,N31/(J13-J14))</f>
        <v>27318.73113684915</v>
      </c>
      <c r="N35" s="100"/>
      <c r="P35" s="69" t="s">
        <v>444</v>
      </c>
      <c r="Q35" s="84">
        <f>-PV(Q13,6,0,U31/(Q13-Q14))</f>
        <v>6108.0667684987475</v>
      </c>
      <c r="U35" s="100"/>
    </row>
    <row r="36" spans="2:21" x14ac:dyDescent="0.2">
      <c r="B36" s="43" t="s">
        <v>458</v>
      </c>
      <c r="C36" s="95">
        <f>SUM(C34:C35)</f>
        <v>18417.008539559996</v>
      </c>
      <c r="G36" s="100"/>
      <c r="I36" s="43" t="s">
        <v>458</v>
      </c>
      <c r="J36" s="95">
        <f>SUM(J34:J35)</f>
        <v>35260.557223012707</v>
      </c>
      <c r="N36" s="100"/>
      <c r="P36" s="43" t="s">
        <v>458</v>
      </c>
      <c r="Q36" s="95">
        <f>SUM(Q34:Q35)</f>
        <v>8020.5900275334998</v>
      </c>
      <c r="U36" s="100"/>
    </row>
    <row r="37" spans="2:21" x14ac:dyDescent="0.2">
      <c r="B37" s="69"/>
      <c r="G37" s="100"/>
      <c r="I37" s="69"/>
      <c r="N37" s="100"/>
      <c r="P37" s="69"/>
      <c r="U37" s="100"/>
    </row>
    <row r="38" spans="2:21" x14ac:dyDescent="0.2">
      <c r="B38" s="69" t="s">
        <v>445</v>
      </c>
      <c r="C38">
        <v>479</v>
      </c>
      <c r="G38" s="100"/>
      <c r="I38" s="69" t="s">
        <v>445</v>
      </c>
      <c r="J38">
        <v>479</v>
      </c>
      <c r="N38" s="100"/>
      <c r="P38" s="69" t="s">
        <v>445</v>
      </c>
      <c r="Q38">
        <v>479</v>
      </c>
      <c r="U38" s="100"/>
    </row>
    <row r="39" spans="2:21" x14ac:dyDescent="0.2">
      <c r="B39" s="43" t="s">
        <v>442</v>
      </c>
      <c r="C39" s="95">
        <f>C36/C38</f>
        <v>38.448869602421702</v>
      </c>
      <c r="G39" s="100"/>
      <c r="I39" s="43" t="s">
        <v>442</v>
      </c>
      <c r="J39" s="95">
        <f>J36/J38</f>
        <v>73.612854327792704</v>
      </c>
      <c r="N39" s="100"/>
      <c r="P39" s="43" t="s">
        <v>442</v>
      </c>
      <c r="Q39" s="95">
        <f>Q36/Q38</f>
        <v>16.744446821573067</v>
      </c>
      <c r="U39" s="100"/>
    </row>
    <row r="40" spans="2:21" x14ac:dyDescent="0.2">
      <c r="B40" s="69"/>
      <c r="G40" s="100"/>
      <c r="I40" s="69"/>
      <c r="N40" s="100"/>
      <c r="P40" s="69"/>
      <c r="U40" s="100"/>
    </row>
    <row r="41" spans="2:21" x14ac:dyDescent="0.2">
      <c r="B41" s="69" t="s">
        <v>461</v>
      </c>
      <c r="C41">
        <v>67.05</v>
      </c>
      <c r="G41" s="100"/>
      <c r="I41" s="69" t="s">
        <v>461</v>
      </c>
      <c r="J41">
        <v>67.05</v>
      </c>
      <c r="N41" s="100"/>
      <c r="P41" s="69" t="s">
        <v>461</v>
      </c>
      <c r="Q41">
        <v>67.05</v>
      </c>
      <c r="U41" s="100"/>
    </row>
    <row r="42" spans="2:21" x14ac:dyDescent="0.2">
      <c r="B42" s="107" t="s">
        <v>460</v>
      </c>
      <c r="C42" s="238">
        <f>(C39-C41)/C41</f>
        <v>-0.42656421174613418</v>
      </c>
      <c r="D42" s="239" t="s">
        <v>464</v>
      </c>
      <c r="E42" s="67"/>
      <c r="F42" s="67"/>
      <c r="G42" s="103"/>
      <c r="I42" s="107" t="s">
        <v>460</v>
      </c>
      <c r="J42" s="146">
        <f>(J39-J41)/J41</f>
        <v>9.7880004888780112E-2</v>
      </c>
      <c r="K42" s="147" t="s">
        <v>462</v>
      </c>
      <c r="L42" s="67"/>
      <c r="M42" s="67"/>
      <c r="N42" s="103"/>
      <c r="P42" s="107" t="s">
        <v>460</v>
      </c>
      <c r="Q42" s="108">
        <f>(Q39-Q41)/Q41</f>
        <v>-0.75026924949182605</v>
      </c>
      <c r="R42" s="109" t="s">
        <v>464</v>
      </c>
      <c r="S42" s="67"/>
      <c r="T42" s="67"/>
      <c r="U42" s="103"/>
    </row>
    <row r="44" spans="2:21" x14ac:dyDescent="0.2">
      <c r="I44" s="96"/>
    </row>
    <row r="57" spans="9:9" x14ac:dyDescent="0.2">
      <c r="I57" s="96"/>
    </row>
  </sheetData>
  <mergeCells count="3">
    <mergeCell ref="B2:G2"/>
    <mergeCell ref="I2:N2"/>
    <mergeCell ref="P2:U2"/>
  </mergeCells>
  <conditionalFormatting sqref="B18:G32">
    <cfRule type="expression" dxfId="2" priority="7">
      <formula>ISODD(ROW())</formula>
    </cfRule>
  </conditionalFormatting>
  <conditionalFormatting sqref="I18:N32">
    <cfRule type="expression" dxfId="1" priority="2">
      <formula>ISODD(ROW())</formula>
    </cfRule>
  </conditionalFormatting>
  <conditionalFormatting sqref="P18:U32">
    <cfRule type="expression" dxfId="0" priority="1">
      <formula>ISODD(ROW())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G71"/>
  <sheetViews>
    <sheetView topLeftCell="A9" zoomScale="91" zoomScaleNormal="178" workbookViewId="0">
      <selection activeCell="G74" sqref="G74"/>
    </sheetView>
  </sheetViews>
  <sheetFormatPr baseColWidth="10" defaultColWidth="8.83203125" defaultRowHeight="15" x14ac:dyDescent="0.2"/>
  <cols>
    <col min="1" max="1" width="10.6640625" bestFit="1" customWidth="1"/>
    <col min="2" max="2" width="11.1640625" bestFit="1" customWidth="1"/>
    <col min="3" max="3" width="16" bestFit="1" customWidth="1"/>
    <col min="4" max="5" width="16" customWidth="1"/>
    <col min="6" max="6" width="15.1640625" bestFit="1" customWidth="1"/>
    <col min="7" max="7" width="13.1640625" customWidth="1"/>
  </cols>
  <sheetData>
    <row r="1" spans="1:7" x14ac:dyDescent="0.2">
      <c r="A1" t="s">
        <v>22</v>
      </c>
      <c r="B1" t="s">
        <v>23</v>
      </c>
      <c r="C1" s="11" t="s">
        <v>24</v>
      </c>
      <c r="D1" s="1" t="s">
        <v>25</v>
      </c>
      <c r="E1" s="12" t="s">
        <v>26</v>
      </c>
      <c r="F1" s="12"/>
    </row>
    <row r="2" spans="1:7" x14ac:dyDescent="0.2">
      <c r="A2" t="s">
        <v>27</v>
      </c>
      <c r="B2" s="2">
        <v>43553</v>
      </c>
    </row>
    <row r="3" spans="1:7" x14ac:dyDescent="0.2">
      <c r="A3" t="s">
        <v>28</v>
      </c>
      <c r="B3" s="2">
        <v>45747</v>
      </c>
    </row>
    <row r="4" spans="1:7" x14ac:dyDescent="0.2">
      <c r="A4" t="s">
        <v>29</v>
      </c>
      <c r="B4" t="s">
        <v>30</v>
      </c>
    </row>
    <row r="5" spans="1:7" x14ac:dyDescent="0.2">
      <c r="A5" t="s">
        <v>31</v>
      </c>
      <c r="B5" t="s">
        <v>32</v>
      </c>
    </row>
    <row r="7" spans="1:7" x14ac:dyDescent="0.2">
      <c r="A7" s="13" t="s">
        <v>33</v>
      </c>
      <c r="B7" s="14" t="s">
        <v>34</v>
      </c>
      <c r="C7" s="13" t="s">
        <v>35</v>
      </c>
      <c r="D7" s="13" t="s">
        <v>36</v>
      </c>
      <c r="E7" s="14" t="s">
        <v>18</v>
      </c>
      <c r="F7" s="14" t="s">
        <v>37</v>
      </c>
      <c r="G7" s="15" t="s">
        <v>17</v>
      </c>
    </row>
    <row r="8" spans="1:7" x14ac:dyDescent="0.2">
      <c r="A8" s="3">
        <v>45747</v>
      </c>
      <c r="B8" s="18" t="str">
        <f>_xlfn.CONCAT(MONTH(A8),"-",YEAR(A8))</f>
        <v>3-2025</v>
      </c>
      <c r="C8" s="19">
        <v>329.18</v>
      </c>
      <c r="D8" s="19">
        <f>IFERROR(INDEX('CI - dividend'!H:H,MATCH(B8,'CI - dividend'!D:D,0)),0)</f>
        <v>1.51</v>
      </c>
      <c r="E8" s="20">
        <f>((C8+D8)-(C9+D9))/(C8+D8)</f>
        <v>6.6588043182436663E-2</v>
      </c>
      <c r="F8" s="20">
        <f>INDEX('10YR Treasury'!E:E,MATCH(B8,'10YR Treasury'!B:B,0))</f>
        <v>3.504416666666667E-3</v>
      </c>
      <c r="G8" s="16">
        <f>E8-F8</f>
        <v>6.308362651577E-2</v>
      </c>
    </row>
    <row r="9" spans="1:7" x14ac:dyDescent="0.2">
      <c r="A9" s="3">
        <v>45716</v>
      </c>
      <c r="B9" s="18" t="str">
        <f t="shared" ref="B9:B68" si="0">_xlfn.CONCAT(MONTH(A9),"-",YEAR(A9))</f>
        <v>2-2025</v>
      </c>
      <c r="C9" s="19">
        <v>308.67</v>
      </c>
      <c r="D9" s="19">
        <f>IFERROR(INDEX('CI - dividend'!H:H,MATCH(B9,'CI - dividend'!D:D,0)),0)</f>
        <v>0</v>
      </c>
      <c r="E9" s="20">
        <f t="shared" ref="E9:E67" si="1">((C9+D9)-(C10+D10))/(C9+D9)</f>
        <v>4.68785434282568E-2</v>
      </c>
      <c r="F9" s="20">
        <f>INDEX('10YR Treasury'!E:E,MATCH(B9,'10YR Treasury'!B:B,0))</f>
        <v>3.5068333333333332E-3</v>
      </c>
      <c r="G9" s="17">
        <f t="shared" ref="G9:G39" si="2">E9-F9</f>
        <v>4.3371710094923466E-2</v>
      </c>
    </row>
    <row r="10" spans="1:7" x14ac:dyDescent="0.2">
      <c r="A10" s="3">
        <v>45688</v>
      </c>
      <c r="B10" s="18" t="str">
        <f t="shared" si="0"/>
        <v>1-2025</v>
      </c>
      <c r="C10" s="19">
        <v>294.2</v>
      </c>
      <c r="D10" s="19">
        <f>IFERROR(INDEX('CI - dividend'!H:H,MATCH(B10,'CI - dividend'!D:D,0)),0)</f>
        <v>0</v>
      </c>
      <c r="E10" s="20">
        <f t="shared" si="1"/>
        <v>5.615227736233868E-2</v>
      </c>
      <c r="F10" s="20">
        <f>INDEX('10YR Treasury'!E:E,MATCH(B10,'10YR Treasury'!B:B,0))</f>
        <v>3.7822500000000005E-3</v>
      </c>
      <c r="G10" s="17">
        <f t="shared" si="2"/>
        <v>5.2370027362338679E-2</v>
      </c>
    </row>
    <row r="11" spans="1:7" x14ac:dyDescent="0.2">
      <c r="A11" s="3">
        <v>45657</v>
      </c>
      <c r="B11" s="18" t="str">
        <f t="shared" si="0"/>
        <v>12-2024</v>
      </c>
      <c r="C11" s="19">
        <v>276.27999999999997</v>
      </c>
      <c r="D11" s="19">
        <f>IFERROR(INDEX('CI - dividend'!H:H,MATCH(B11,'CI - dividend'!D:D,0)),0)</f>
        <v>1.4</v>
      </c>
      <c r="E11" s="20">
        <f t="shared" si="1"/>
        <v>-0.2165442235666957</v>
      </c>
      <c r="F11" s="20">
        <f>INDEX('10YR Treasury'!E:E,MATCH(B11,'10YR Treasury'!B:B,0))</f>
        <v>3.8075000000000001E-3</v>
      </c>
      <c r="G11" s="17">
        <f t="shared" si="2"/>
        <v>-0.22035172356669569</v>
      </c>
    </row>
    <row r="12" spans="1:7" x14ac:dyDescent="0.2">
      <c r="A12" s="3">
        <v>45625</v>
      </c>
      <c r="B12" s="18" t="str">
        <f t="shared" si="0"/>
        <v>11-2024</v>
      </c>
      <c r="C12" s="19">
        <v>337.81</v>
      </c>
      <c r="D12" s="19">
        <f>IFERROR(INDEX('CI - dividend'!H:H,MATCH(B12,'CI - dividend'!D:D,0)),0)</f>
        <v>0</v>
      </c>
      <c r="E12" s="20">
        <f t="shared" si="1"/>
        <v>6.8766466356827857E-2</v>
      </c>
      <c r="F12" s="20">
        <f>INDEX('10YR Treasury'!E:E,MATCH(B12,'10YR Treasury'!B:B,0))</f>
        <v>3.4737499999999998E-3</v>
      </c>
      <c r="G12" s="17">
        <f t="shared" si="2"/>
        <v>6.529271635682786E-2</v>
      </c>
    </row>
    <row r="13" spans="1:7" x14ac:dyDescent="0.2">
      <c r="A13" s="3">
        <v>45596</v>
      </c>
      <c r="B13" s="18" t="str">
        <f t="shared" si="0"/>
        <v>10-2024</v>
      </c>
      <c r="C13" s="19">
        <v>314.58</v>
      </c>
      <c r="D13" s="19">
        <f>IFERROR(INDEX('CI - dividend'!H:H,MATCH(B13,'CI - dividend'!D:D,0)),0)</f>
        <v>0</v>
      </c>
      <c r="E13" s="20">
        <f t="shared" si="1"/>
        <v>-0.1056964842011571</v>
      </c>
      <c r="F13" s="20">
        <f>INDEX('10YR Treasury'!E:E,MATCH(B13,'10YR Treasury'!B:B,0))</f>
        <v>3.5703333333333333E-3</v>
      </c>
      <c r="G13" s="17">
        <f t="shared" si="2"/>
        <v>-0.10926681753449043</v>
      </c>
    </row>
    <row r="14" spans="1:7" x14ac:dyDescent="0.2">
      <c r="A14" s="3">
        <v>45565</v>
      </c>
      <c r="B14" s="18" t="str">
        <f t="shared" si="0"/>
        <v>9-2024</v>
      </c>
      <c r="C14" s="19">
        <v>346.43</v>
      </c>
      <c r="D14" s="19">
        <f>IFERROR(INDEX('CI - dividend'!H:H,MATCH(B14,'CI - dividend'!D:D,0)),0)</f>
        <v>1.4</v>
      </c>
      <c r="E14" s="20">
        <f t="shared" si="1"/>
        <v>-3.9732053014403572E-2</v>
      </c>
      <c r="F14" s="20">
        <f>INDEX('10YR Treasury'!E:E,MATCH(B14,'10YR Treasury'!B:B,0))</f>
        <v>3.1507499999999999E-3</v>
      </c>
      <c r="G14" s="17">
        <f t="shared" si="2"/>
        <v>-4.2882803014403573E-2</v>
      </c>
    </row>
    <row r="15" spans="1:7" x14ac:dyDescent="0.2">
      <c r="A15" s="3">
        <v>45534</v>
      </c>
      <c r="B15" s="18" t="str">
        <f t="shared" si="0"/>
        <v>8-2024</v>
      </c>
      <c r="C15" s="19">
        <v>361.65</v>
      </c>
      <c r="D15" s="19">
        <f>IFERROR(INDEX('CI - dividend'!H:H,MATCH(B15,'CI - dividend'!D:D,0)),0)</f>
        <v>0</v>
      </c>
      <c r="E15" s="20">
        <f t="shared" si="1"/>
        <v>3.5752799668187341E-2</v>
      </c>
      <c r="F15" s="20">
        <f>INDEX('10YR Treasury'!E:E,MATCH(B15,'10YR Treasury'!B:B,0))</f>
        <v>3.2528333333333333E-3</v>
      </c>
      <c r="G15" s="17">
        <f t="shared" si="2"/>
        <v>3.2499966334854011E-2</v>
      </c>
    </row>
    <row r="16" spans="1:7" x14ac:dyDescent="0.2">
      <c r="A16" s="3">
        <v>45504</v>
      </c>
      <c r="B16" s="18" t="str">
        <f t="shared" si="0"/>
        <v>7-2024</v>
      </c>
      <c r="C16" s="19">
        <v>348.72</v>
      </c>
      <c r="D16" s="19">
        <f>IFERROR(INDEX('CI - dividend'!H:H,MATCH(B16,'CI - dividend'!D:D,0)),0)</f>
        <v>0</v>
      </c>
      <c r="E16" s="20">
        <f t="shared" si="1"/>
        <v>4.9151181463638567E-2</v>
      </c>
      <c r="F16" s="20">
        <f>INDEX('10YR Treasury'!E:E,MATCH(B16,'10YR Treasury'!B:B,0))</f>
        <v>3.3580000000000003E-3</v>
      </c>
      <c r="G16" s="17">
        <f t="shared" si="2"/>
        <v>4.5793181463638567E-2</v>
      </c>
    </row>
    <row r="17" spans="1:7" x14ac:dyDescent="0.2">
      <c r="A17" s="3">
        <v>45471</v>
      </c>
      <c r="B17" s="18" t="str">
        <f t="shared" si="0"/>
        <v>6-2024</v>
      </c>
      <c r="C17" s="19">
        <v>330.18</v>
      </c>
      <c r="D17" s="19">
        <f>IFERROR(INDEX('CI - dividend'!H:H,MATCH(B17,'CI - dividend'!D:D,0)),0)</f>
        <v>1.4</v>
      </c>
      <c r="E17" s="20">
        <f t="shared" si="1"/>
        <v>-3.8301465709632637E-2</v>
      </c>
      <c r="F17" s="20">
        <f>INDEX('10YR Treasury'!E:E,MATCH(B17,'10YR Treasury'!B:B,0))</f>
        <v>3.6634166666666664E-3</v>
      </c>
      <c r="G17" s="17">
        <f t="shared" si="2"/>
        <v>-4.1964882376299306E-2</v>
      </c>
    </row>
    <row r="18" spans="1:7" x14ac:dyDescent="0.2">
      <c r="A18" s="3">
        <v>45443</v>
      </c>
      <c r="B18" s="18" t="str">
        <f t="shared" si="0"/>
        <v>5-2024</v>
      </c>
      <c r="C18" s="19">
        <v>344.28</v>
      </c>
      <c r="D18" s="19">
        <f>IFERROR(INDEX('CI - dividend'!H:H,MATCH(B18,'CI - dividend'!D:D,0)),0)</f>
        <v>0</v>
      </c>
      <c r="E18" s="20">
        <f t="shared" si="1"/>
        <v>-3.7469501568490868E-2</v>
      </c>
      <c r="F18" s="20">
        <f>INDEX('10YR Treasury'!E:E,MATCH(B18,'10YR Treasury'!B:B,0))</f>
        <v>3.7487499999999999E-3</v>
      </c>
      <c r="G18" s="17">
        <f t="shared" si="2"/>
        <v>-4.121825156849087E-2</v>
      </c>
    </row>
    <row r="19" spans="1:7" x14ac:dyDescent="0.2">
      <c r="A19" s="3">
        <v>45412</v>
      </c>
      <c r="B19" s="18" t="str">
        <f t="shared" si="0"/>
        <v>4-2024</v>
      </c>
      <c r="C19" s="19">
        <v>357.18</v>
      </c>
      <c r="D19" s="19">
        <f>IFERROR(INDEX('CI - dividend'!H:H,MATCH(B19,'CI - dividend'!D:D,0)),0)</f>
        <v>0</v>
      </c>
      <c r="E19" s="20">
        <f t="shared" si="1"/>
        <v>-2.0745842432386943E-2</v>
      </c>
      <c r="F19" s="20">
        <f>INDEX('10YR Treasury'!E:E,MATCH(B19,'10YR Treasury'!B:B,0))</f>
        <v>3.8998333333333333E-3</v>
      </c>
      <c r="G19" s="17">
        <f t="shared" si="2"/>
        <v>-2.4645675765720278E-2</v>
      </c>
    </row>
    <row r="20" spans="1:7" x14ac:dyDescent="0.2">
      <c r="A20" s="3">
        <v>45379</v>
      </c>
      <c r="B20" s="18" t="str">
        <f t="shared" si="0"/>
        <v>3-2024</v>
      </c>
      <c r="C20" s="19">
        <v>363.19</v>
      </c>
      <c r="D20" s="19">
        <f>IFERROR(INDEX('CI - dividend'!H:H,MATCH(B20,'CI - dividend'!D:D,0)),0)</f>
        <v>1.4</v>
      </c>
      <c r="E20" s="20">
        <f t="shared" si="1"/>
        <v>7.9184837762966476E-2</v>
      </c>
      <c r="F20" s="20">
        <f>INDEX('10YR Treasury'!E:E,MATCH(B20,'10YR Treasury'!B:B,0))</f>
        <v>3.5002500000000003E-3</v>
      </c>
      <c r="G20" s="17">
        <f t="shared" si="2"/>
        <v>7.5684587762966479E-2</v>
      </c>
    </row>
    <row r="21" spans="1:7" x14ac:dyDescent="0.2">
      <c r="A21" s="3">
        <v>45351</v>
      </c>
      <c r="B21" s="18" t="str">
        <f t="shared" si="0"/>
        <v>2-2024</v>
      </c>
      <c r="C21" s="19">
        <v>335.72</v>
      </c>
      <c r="D21" s="19">
        <f>IFERROR(INDEX('CI - dividend'!H:H,MATCH(B21,'CI - dividend'!D:D,0)),0)</f>
        <v>0</v>
      </c>
      <c r="E21" s="20">
        <f t="shared" si="1"/>
        <v>0.10318122244727761</v>
      </c>
      <c r="F21" s="20">
        <f>INDEX('10YR Treasury'!E:E,MATCH(B21,'10YR Treasury'!B:B,0))</f>
        <v>3.5418333333333339E-3</v>
      </c>
      <c r="G21" s="17">
        <f t="shared" si="2"/>
        <v>9.9639389113944279E-2</v>
      </c>
    </row>
    <row r="22" spans="1:7" x14ac:dyDescent="0.2">
      <c r="A22" s="3">
        <v>45322</v>
      </c>
      <c r="B22" s="18" t="str">
        <f t="shared" si="0"/>
        <v>1-2024</v>
      </c>
      <c r="C22" s="19">
        <v>301.08</v>
      </c>
      <c r="D22" s="19">
        <f>IFERROR(INDEX('CI - dividend'!H:H,MATCH(B22,'CI - dividend'!D:D,0)),0)</f>
        <v>0</v>
      </c>
      <c r="E22" s="20">
        <f t="shared" si="1"/>
        <v>1.129267968646124E-3</v>
      </c>
      <c r="F22" s="20">
        <f>INDEX('10YR Treasury'!E:E,MATCH(B22,'10YR Treasury'!B:B,0))</f>
        <v>3.2603333333333334E-3</v>
      </c>
      <c r="G22" s="17">
        <f t="shared" si="2"/>
        <v>-2.1310653646872094E-3</v>
      </c>
    </row>
    <row r="23" spans="1:7" x14ac:dyDescent="0.2">
      <c r="A23" s="3">
        <v>45289</v>
      </c>
      <c r="B23" s="18" t="str">
        <f t="shared" si="0"/>
        <v>12-2023</v>
      </c>
      <c r="C23" s="19">
        <v>299.51</v>
      </c>
      <c r="D23" s="19">
        <f>IFERROR(INDEX('CI - dividend'!H:H,MATCH(B23,'CI - dividend'!D:D,0)),0)</f>
        <v>1.23</v>
      </c>
      <c r="E23" s="20">
        <f t="shared" si="1"/>
        <v>0.1258229700073154</v>
      </c>
      <c r="F23" s="20">
        <f>INDEX('10YR Treasury'!E:E,MATCH(B23,'10YR Treasury'!B:B,0))</f>
        <v>3.2325833333333334E-3</v>
      </c>
      <c r="G23" s="17">
        <f t="shared" si="2"/>
        <v>0.12259038667398207</v>
      </c>
    </row>
    <row r="24" spans="1:7" x14ac:dyDescent="0.2">
      <c r="A24" s="3">
        <v>45260</v>
      </c>
      <c r="B24" s="18" t="str">
        <f t="shared" si="0"/>
        <v>11-2023</v>
      </c>
      <c r="C24" s="19">
        <v>262.89999999999998</v>
      </c>
      <c r="D24" s="19">
        <f>IFERROR(INDEX('CI - dividend'!H:H,MATCH(B24,'CI - dividend'!D:D,0)),0)</f>
        <v>0</v>
      </c>
      <c r="E24" s="20">
        <f t="shared" si="1"/>
        <v>-0.17569418029669076</v>
      </c>
      <c r="F24" s="20">
        <f>INDEX('10YR Treasury'!E:E,MATCH(B24,'10YR Treasury'!B:B,0))</f>
        <v>3.6053333333333328E-3</v>
      </c>
      <c r="G24" s="17">
        <f t="shared" si="2"/>
        <v>-0.17929951363002408</v>
      </c>
    </row>
    <row r="25" spans="1:7" x14ac:dyDescent="0.2">
      <c r="A25" s="3">
        <v>45230</v>
      </c>
      <c r="B25" s="18" t="str">
        <f t="shared" si="0"/>
        <v>10-2023</v>
      </c>
      <c r="C25" s="19">
        <v>309.08999999999997</v>
      </c>
      <c r="D25" s="19">
        <f>IFERROR(INDEX('CI - dividend'!H:H,MATCH(B25,'CI - dividend'!D:D,0)),0)</f>
        <v>0</v>
      </c>
      <c r="E25" s="20">
        <f t="shared" si="1"/>
        <v>7.0464913132097365E-2</v>
      </c>
      <c r="F25" s="20">
        <f>INDEX('10YR Treasury'!E:E,MATCH(B25,'10YR Treasury'!B:B,0))</f>
        <v>4.108916666666667E-3</v>
      </c>
      <c r="G25" s="17">
        <f t="shared" si="2"/>
        <v>6.6355996465430694E-2</v>
      </c>
    </row>
    <row r="26" spans="1:7" x14ac:dyDescent="0.2">
      <c r="A26" s="3">
        <v>45198</v>
      </c>
      <c r="B26" s="18" t="str">
        <f t="shared" si="0"/>
        <v>9-2023</v>
      </c>
      <c r="C26" s="19">
        <v>286.08</v>
      </c>
      <c r="D26" s="19">
        <f>IFERROR(INDEX('CI - dividend'!H:H,MATCH(B26,'CI - dividend'!D:D,0)),0)</f>
        <v>1.23</v>
      </c>
      <c r="E26" s="20">
        <f t="shared" si="1"/>
        <v>3.8042532456231966E-2</v>
      </c>
      <c r="F26" s="20">
        <f>INDEX('10YR Treasury'!E:E,MATCH(B26,'10YR Treasury'!B:B,0))</f>
        <v>3.8092500000000001E-3</v>
      </c>
      <c r="G26" s="17">
        <f t="shared" si="2"/>
        <v>3.4233282456231966E-2</v>
      </c>
    </row>
    <row r="27" spans="1:7" x14ac:dyDescent="0.2">
      <c r="A27" s="3">
        <v>45169</v>
      </c>
      <c r="B27" s="18" t="str">
        <f t="shared" si="0"/>
        <v>8-2023</v>
      </c>
      <c r="C27" s="19">
        <v>276.38</v>
      </c>
      <c r="D27" s="19">
        <f>IFERROR(INDEX('CI - dividend'!H:H,MATCH(B27,'CI - dividend'!D:D,0)),0)</f>
        <v>0</v>
      </c>
      <c r="E27" s="20">
        <f t="shared" si="1"/>
        <v>-6.7732831608654856E-2</v>
      </c>
      <c r="F27" s="20">
        <f>INDEX('10YR Treasury'!E:E,MATCH(B27,'10YR Treasury'!B:B,0))</f>
        <v>3.4234166666666671E-3</v>
      </c>
      <c r="G27" s="17">
        <f t="shared" si="2"/>
        <v>-7.1156248275321521E-2</v>
      </c>
    </row>
    <row r="28" spans="1:7" x14ac:dyDescent="0.2">
      <c r="A28" s="3">
        <v>45138</v>
      </c>
      <c r="B28" s="18" t="str">
        <f t="shared" si="0"/>
        <v>7-2023</v>
      </c>
      <c r="C28" s="19">
        <v>295.10000000000002</v>
      </c>
      <c r="D28" s="19">
        <f>IFERROR(INDEX('CI - dividend'!H:H,MATCH(B28,'CI - dividend'!D:D,0)),0)</f>
        <v>0</v>
      </c>
      <c r="E28" s="20">
        <f t="shared" si="1"/>
        <v>4.5272788885123733E-2</v>
      </c>
      <c r="F28" s="20">
        <f>INDEX('10YR Treasury'!E:E,MATCH(B28,'10YR Treasury'!B:B,0))</f>
        <v>3.2990000000000003E-3</v>
      </c>
      <c r="G28" s="17">
        <f t="shared" si="2"/>
        <v>4.1973788885123729E-2</v>
      </c>
    </row>
    <row r="29" spans="1:7" x14ac:dyDescent="0.2">
      <c r="A29" s="3">
        <v>45107</v>
      </c>
      <c r="B29" s="18" t="str">
        <f t="shared" si="0"/>
        <v>6-2023</v>
      </c>
      <c r="C29" s="19">
        <v>280.51</v>
      </c>
      <c r="D29" s="19">
        <f>IFERROR(INDEX('CI - dividend'!H:H,MATCH(B29,'CI - dividend'!D:D,0)),0)</f>
        <v>1.23</v>
      </c>
      <c r="E29" s="20">
        <f t="shared" si="1"/>
        <v>0.12153048910342872</v>
      </c>
      <c r="F29" s="20">
        <f>INDEX('10YR Treasury'!E:E,MATCH(B29,'10YR Treasury'!B:B,0))</f>
        <v>3.19725E-3</v>
      </c>
      <c r="G29" s="17">
        <f t="shared" si="2"/>
        <v>0.11833323910342872</v>
      </c>
    </row>
    <row r="30" spans="1:7" x14ac:dyDescent="0.2">
      <c r="A30" s="3">
        <v>45077</v>
      </c>
      <c r="B30" s="18" t="str">
        <f t="shared" si="0"/>
        <v>5-2023</v>
      </c>
      <c r="C30" s="19">
        <v>247.5</v>
      </c>
      <c r="D30" s="19">
        <f>IFERROR(INDEX('CI - dividend'!H:H,MATCH(B30,'CI - dividend'!D:D,0)),0)</f>
        <v>0</v>
      </c>
      <c r="E30" s="20">
        <f t="shared" si="1"/>
        <v>-2.3393939393939363E-2</v>
      </c>
      <c r="F30" s="20">
        <f>INDEX('10YR Treasury'!E:E,MATCH(B30,'10YR Treasury'!B:B,0))</f>
        <v>3.0355E-3</v>
      </c>
      <c r="G30" s="17">
        <f t="shared" si="2"/>
        <v>-2.6429439393939363E-2</v>
      </c>
    </row>
    <row r="31" spans="1:7" x14ac:dyDescent="0.2">
      <c r="A31" s="3">
        <v>45044</v>
      </c>
      <c r="B31" s="18" t="str">
        <f t="shared" si="0"/>
        <v>4-2023</v>
      </c>
      <c r="C31" s="19">
        <v>253.29</v>
      </c>
      <c r="D31" s="19">
        <f>IFERROR(INDEX('CI - dividend'!H:H,MATCH(B31,'CI - dividend'!D:D,0)),0)</f>
        <v>0</v>
      </c>
      <c r="E31" s="20">
        <f t="shared" si="1"/>
        <v>-1.2831142169055346E-2</v>
      </c>
      <c r="F31" s="20">
        <f>INDEX('10YR Treasury'!E:E,MATCH(B31,'10YR Treasury'!B:B,0))</f>
        <v>2.8516666666666668E-3</v>
      </c>
      <c r="G31" s="17">
        <f t="shared" si="2"/>
        <v>-1.5682808835722012E-2</v>
      </c>
    </row>
    <row r="32" spans="1:7" x14ac:dyDescent="0.2">
      <c r="A32" s="3">
        <v>45016</v>
      </c>
      <c r="B32" s="18" t="str">
        <f t="shared" si="0"/>
        <v>3-2023</v>
      </c>
      <c r="C32" s="19">
        <v>255.31</v>
      </c>
      <c r="D32" s="19">
        <f>IFERROR(INDEX('CI - dividend'!H:H,MATCH(B32,'CI - dividend'!D:D,0)),0)</f>
        <v>1.23</v>
      </c>
      <c r="E32" s="20">
        <f t="shared" si="1"/>
        <v>-0.1375613939346689</v>
      </c>
      <c r="F32" s="20">
        <f>INDEX('10YR Treasury'!E:E,MATCH(B32,'10YR Treasury'!B:B,0))</f>
        <v>2.8896666666666667E-3</v>
      </c>
      <c r="G32" s="17">
        <f t="shared" si="2"/>
        <v>-0.14045106060133558</v>
      </c>
    </row>
    <row r="33" spans="1:7" x14ac:dyDescent="0.2">
      <c r="A33" s="3">
        <v>44985</v>
      </c>
      <c r="B33" s="18" t="str">
        <f t="shared" si="0"/>
        <v>2-2023</v>
      </c>
      <c r="C33" s="19">
        <v>291.83</v>
      </c>
      <c r="D33" s="19">
        <f>IFERROR(INDEX('CI - dividend'!H:H,MATCH(B33,'CI - dividend'!D:D,0)),0)</f>
        <v>0</v>
      </c>
      <c r="E33" s="20">
        <f t="shared" si="1"/>
        <v>-8.5118048178734307E-2</v>
      </c>
      <c r="F33" s="20">
        <f>INDEX('10YR Treasury'!E:E,MATCH(B33,'10YR Treasury'!B:B,0))</f>
        <v>3.2666666666666664E-3</v>
      </c>
      <c r="G33" s="17">
        <f t="shared" si="2"/>
        <v>-8.8384714845400975E-2</v>
      </c>
    </row>
    <row r="34" spans="1:7" x14ac:dyDescent="0.2">
      <c r="A34" s="3">
        <v>44957</v>
      </c>
      <c r="B34" s="18" t="str">
        <f t="shared" si="0"/>
        <v>1-2023</v>
      </c>
      <c r="C34" s="19">
        <v>316.67</v>
      </c>
      <c r="D34" s="19">
        <f>IFERROR(INDEX('CI - dividend'!H:H,MATCH(B34,'CI - dividend'!D:D,0)),0)</f>
        <v>0</v>
      </c>
      <c r="E34" s="20">
        <f t="shared" si="1"/>
        <v>-4.9957368869801344E-2</v>
      </c>
      <c r="F34" s="20">
        <f>INDEX('10YR Treasury'!E:E,MATCH(B34,'10YR Treasury'!B:B,0))</f>
        <v>2.9224166666666665E-3</v>
      </c>
      <c r="G34" s="17">
        <f t="shared" si="2"/>
        <v>-5.2879785536468008E-2</v>
      </c>
    </row>
    <row r="35" spans="1:7" x14ac:dyDescent="0.2">
      <c r="A35" s="3">
        <v>44925</v>
      </c>
      <c r="B35" s="18" t="str">
        <f t="shared" si="0"/>
        <v>12-2022</v>
      </c>
      <c r="C35" s="19">
        <v>331.37</v>
      </c>
      <c r="D35" s="19">
        <f>IFERROR(INDEX('CI - dividend'!H:H,MATCH(B35,'CI - dividend'!D:D,0)),0)</f>
        <v>1.1200000000000001</v>
      </c>
      <c r="E35" s="20">
        <f t="shared" si="1"/>
        <v>1.1699599987969522E-2</v>
      </c>
      <c r="F35" s="20">
        <f>INDEX('10YR Treasury'!E:E,MATCH(B35,'10YR Treasury'!B:B,0))</f>
        <v>3.2290000000000001E-3</v>
      </c>
      <c r="G35" s="17">
        <f t="shared" si="2"/>
        <v>8.470599987969521E-3</v>
      </c>
    </row>
    <row r="36" spans="1:7" x14ac:dyDescent="0.2">
      <c r="A36" s="3">
        <v>44895</v>
      </c>
      <c r="B36" s="18" t="str">
        <f t="shared" si="0"/>
        <v>11-2022</v>
      </c>
      <c r="C36" s="19">
        <v>328.6</v>
      </c>
      <c r="D36" s="19">
        <f>IFERROR(INDEX('CI - dividend'!H:H,MATCH(B36,'CI - dividend'!D:D,0)),0)</f>
        <v>0</v>
      </c>
      <c r="E36" s="20">
        <f t="shared" si="1"/>
        <v>1.6281192939744438E-2</v>
      </c>
      <c r="F36" s="20">
        <f>INDEX('10YR Treasury'!E:E,MATCH(B36,'10YR Treasury'!B:B,0))</f>
        <v>3.0044999999999998E-3</v>
      </c>
      <c r="G36" s="17">
        <f t="shared" si="2"/>
        <v>1.3276692939744438E-2</v>
      </c>
    </row>
    <row r="37" spans="1:7" x14ac:dyDescent="0.2">
      <c r="A37" s="3">
        <v>44865</v>
      </c>
      <c r="B37" s="18" t="str">
        <f t="shared" si="0"/>
        <v>10-2022</v>
      </c>
      <c r="C37" s="19">
        <v>323.25</v>
      </c>
      <c r="D37" s="19">
        <f>IFERROR(INDEX('CI - dividend'!H:H,MATCH(B37,'CI - dividend'!D:D,0)),0)</f>
        <v>0</v>
      </c>
      <c r="E37" s="20">
        <f t="shared" si="1"/>
        <v>0.13744779582366592</v>
      </c>
      <c r="F37" s="20">
        <f>INDEX('10YR Treasury'!E:E,MATCH(B37,'10YR Treasury'!B:B,0))</f>
        <v>3.3731666666666662E-3</v>
      </c>
      <c r="G37" s="17">
        <f t="shared" si="2"/>
        <v>0.13407462915699925</v>
      </c>
    </row>
    <row r="38" spans="1:7" x14ac:dyDescent="0.2">
      <c r="A38" s="3">
        <v>44834</v>
      </c>
      <c r="B38" s="18" t="str">
        <f t="shared" si="0"/>
        <v>9-2022</v>
      </c>
      <c r="C38" s="19">
        <v>277.7</v>
      </c>
      <c r="D38" s="19">
        <f>IFERROR(INDEX('CI - dividend'!H:H,MATCH(B38,'CI - dividend'!D:D,0)),0)</f>
        <v>1.1200000000000001</v>
      </c>
      <c r="E38" s="20">
        <f t="shared" si="1"/>
        <v>-1.656982999784809E-2</v>
      </c>
      <c r="F38" s="20">
        <f>INDEX('10YR Treasury'!E:E,MATCH(B38,'10YR Treasury'!B:B,0))</f>
        <v>3.1904999999999998E-3</v>
      </c>
      <c r="G38" s="17">
        <f t="shared" si="2"/>
        <v>-1.9760329997848089E-2</v>
      </c>
    </row>
    <row r="39" spans="1:7" x14ac:dyDescent="0.2">
      <c r="A39" s="3">
        <v>44804</v>
      </c>
      <c r="B39" s="18" t="str">
        <f t="shared" si="0"/>
        <v>8-2022</v>
      </c>
      <c r="C39" s="19">
        <v>283.44</v>
      </c>
      <c r="D39" s="19">
        <f>IFERROR(INDEX('CI - dividend'!H:H,MATCH(B39,'CI - dividend'!D:D,0)),0)</f>
        <v>0</v>
      </c>
      <c r="E39" s="20">
        <f t="shared" si="1"/>
        <v>2.8506915043748179E-2</v>
      </c>
      <c r="F39" s="20">
        <f>INDEX('10YR Treasury'!E:E,MATCH(B39,'10YR Treasury'!B:B,0))</f>
        <v>2.6605000000000001E-3</v>
      </c>
      <c r="G39" s="17">
        <f t="shared" si="2"/>
        <v>2.584641504374818E-2</v>
      </c>
    </row>
    <row r="40" spans="1:7" x14ac:dyDescent="0.2">
      <c r="A40" s="3">
        <v>44771</v>
      </c>
      <c r="B40" s="18" t="str">
        <f t="shared" si="0"/>
        <v>7-2022</v>
      </c>
      <c r="C40" s="19">
        <v>275.36</v>
      </c>
      <c r="D40" s="19">
        <f>IFERROR(INDEX('CI - dividend'!H:H,MATCH(B40,'CI - dividend'!D:D,0)),0)</f>
        <v>0</v>
      </c>
      <c r="E40" s="20">
        <f t="shared" si="1"/>
        <v>3.8858221963974392E-2</v>
      </c>
      <c r="F40" s="20">
        <f>INDEX('10YR Treasury'!E:E,MATCH(B40,'10YR Treasury'!B:B,0))</f>
        <v>2.20725E-3</v>
      </c>
      <c r="G40" s="17">
        <f t="shared" ref="G40:G67" si="3">E40-F40</f>
        <v>3.6650971963974391E-2</v>
      </c>
    </row>
    <row r="41" spans="1:7" x14ac:dyDescent="0.2">
      <c r="A41" s="3">
        <v>44742</v>
      </c>
      <c r="B41" s="18" t="str">
        <f t="shared" si="0"/>
        <v>6-2022</v>
      </c>
      <c r="C41" s="19">
        <v>263.54000000000002</v>
      </c>
      <c r="D41" s="19">
        <f>IFERROR(INDEX('CI - dividend'!H:H,MATCH(B41,'CI - dividend'!D:D,0)),0)</f>
        <v>1.1200000000000001</v>
      </c>
      <c r="E41" s="20">
        <f t="shared" si="1"/>
        <v>-1.4471397264414659E-2</v>
      </c>
      <c r="F41" s="20">
        <f>INDEX('10YR Treasury'!E:E,MATCH(B41,'10YR Treasury'!B:B,0))</f>
        <v>2.51075E-3</v>
      </c>
      <c r="G41" s="17">
        <f t="shared" si="3"/>
        <v>-1.698214726441466E-2</v>
      </c>
    </row>
    <row r="42" spans="1:7" x14ac:dyDescent="0.2">
      <c r="A42" s="3">
        <v>44712</v>
      </c>
      <c r="B42" s="18" t="str">
        <f t="shared" si="0"/>
        <v>5-2022</v>
      </c>
      <c r="C42" s="19">
        <v>268.49</v>
      </c>
      <c r="D42" s="19">
        <f>IFERROR(INDEX('CI - dividend'!H:H,MATCH(B42,'CI - dividend'!D:D,0)),0)</f>
        <v>0</v>
      </c>
      <c r="E42" s="20">
        <f t="shared" si="1"/>
        <v>8.0822376997281148E-2</v>
      </c>
      <c r="F42" s="20">
        <f>INDEX('10YR Treasury'!E:E,MATCH(B42,'10YR Treasury'!B:B,0))</f>
        <v>2.3700833333333334E-3</v>
      </c>
      <c r="G42" s="17">
        <f t="shared" si="3"/>
        <v>7.845229366394782E-2</v>
      </c>
    </row>
    <row r="43" spans="1:7" x14ac:dyDescent="0.2">
      <c r="A43" s="3">
        <v>44680</v>
      </c>
      <c r="B43" s="18" t="str">
        <f t="shared" si="0"/>
        <v>4-2022</v>
      </c>
      <c r="C43" s="19">
        <v>246.79</v>
      </c>
      <c r="D43" s="19">
        <f>IFERROR(INDEX('CI - dividend'!H:H,MATCH(B43,'CI - dividend'!D:D,0)),0)</f>
        <v>0</v>
      </c>
      <c r="E43" s="20">
        <f t="shared" si="1"/>
        <v>2.4474249361805551E-2</v>
      </c>
      <c r="F43" s="20">
        <f>INDEX('10YR Treasury'!E:E,MATCH(B43,'10YR Treasury'!B:B,0))</f>
        <v>2.444666666666667E-3</v>
      </c>
      <c r="G43" s="17">
        <f t="shared" si="3"/>
        <v>2.2029582695138883E-2</v>
      </c>
    </row>
    <row r="44" spans="1:7" x14ac:dyDescent="0.2">
      <c r="A44" s="3">
        <v>44651</v>
      </c>
      <c r="B44" s="18" t="str">
        <f t="shared" si="0"/>
        <v>3-2022</v>
      </c>
      <c r="C44" s="19">
        <v>239.63</v>
      </c>
      <c r="D44" s="19">
        <f>IFERROR(INDEX('CI - dividend'!H:H,MATCH(B44,'CI - dividend'!D:D,0)),0)</f>
        <v>1.1200000000000001</v>
      </c>
      <c r="E44" s="20">
        <f t="shared" si="1"/>
        <v>1.2502596053997886E-2</v>
      </c>
      <c r="F44" s="20">
        <f>INDEX('10YR Treasury'!E:E,MATCH(B44,'10YR Treasury'!B:B,0))</f>
        <v>1.9483333333333334E-3</v>
      </c>
      <c r="G44" s="17">
        <f t="shared" si="3"/>
        <v>1.0554262720664552E-2</v>
      </c>
    </row>
    <row r="45" spans="1:7" x14ac:dyDescent="0.2">
      <c r="A45" s="3">
        <v>44620</v>
      </c>
      <c r="B45" s="18" t="str">
        <f t="shared" si="0"/>
        <v>2-2022</v>
      </c>
      <c r="C45" s="19">
        <v>237.74</v>
      </c>
      <c r="D45" s="19">
        <f>IFERROR(INDEX('CI - dividend'!H:H,MATCH(B45,'CI - dividend'!D:D,0)),0)</f>
        <v>0</v>
      </c>
      <c r="E45" s="20">
        <f t="shared" si="1"/>
        <v>3.1294691679986532E-2</v>
      </c>
      <c r="F45" s="20">
        <f>INDEX('10YR Treasury'!E:E,MATCH(B45,'10YR Treasury'!B:B,0))</f>
        <v>1.5208333333333332E-3</v>
      </c>
      <c r="G45" s="17">
        <f t="shared" si="3"/>
        <v>2.9773858346653199E-2</v>
      </c>
    </row>
    <row r="46" spans="1:7" x14ac:dyDescent="0.2">
      <c r="A46" s="3">
        <v>44592</v>
      </c>
      <c r="B46" s="18" t="str">
        <f t="shared" si="0"/>
        <v>1-2022</v>
      </c>
      <c r="C46" s="19">
        <v>230.3</v>
      </c>
      <c r="D46" s="19">
        <f>IFERROR(INDEX('CI - dividend'!H:H,MATCH(B46,'CI - dividend'!D:D,0)),0)</f>
        <v>0</v>
      </c>
      <c r="E46" s="20">
        <f t="shared" si="1"/>
        <v>-1.4763352149369301E-3</v>
      </c>
      <c r="F46" s="20">
        <f>INDEX('10YR Treasury'!E:E,MATCH(B46,'10YR Treasury'!B:B,0))</f>
        <v>1.4805833333333333E-3</v>
      </c>
      <c r="G46" s="17">
        <f t="shared" si="3"/>
        <v>-2.9569185482702636E-3</v>
      </c>
    </row>
    <row r="47" spans="1:7" x14ac:dyDescent="0.2">
      <c r="A47" s="3">
        <v>44561</v>
      </c>
      <c r="B47" s="18" t="str">
        <f t="shared" si="0"/>
        <v>12-2021</v>
      </c>
      <c r="C47" s="19">
        <v>229.64</v>
      </c>
      <c r="D47" s="19">
        <f>IFERROR(INDEX('CI - dividend'!H:H,MATCH(B47,'CI - dividend'!D:D,0)),0)</f>
        <v>1</v>
      </c>
      <c r="E47" s="20">
        <f t="shared" si="1"/>
        <v>0.16796739507457503</v>
      </c>
      <c r="F47" s="20">
        <f>INDEX('10YR Treasury'!E:E,MATCH(B47,'10YR Treasury'!B:B,0))</f>
        <v>1.2584166666666666E-3</v>
      </c>
      <c r="G47" s="17">
        <f t="shared" si="3"/>
        <v>0.16670897840790835</v>
      </c>
    </row>
    <row r="48" spans="1:7" x14ac:dyDescent="0.2">
      <c r="A48" s="3">
        <v>44530</v>
      </c>
      <c r="B48" s="18" t="str">
        <f t="shared" si="0"/>
        <v>11-2021</v>
      </c>
      <c r="C48" s="19">
        <v>191.9</v>
      </c>
      <c r="D48" s="19">
        <f>IFERROR(INDEX('CI - dividend'!H:H,MATCH(B48,'CI - dividend'!D:D,0)),0)</f>
        <v>0</v>
      </c>
      <c r="E48" s="20">
        <f t="shared" si="1"/>
        <v>-0.1133402813965607</v>
      </c>
      <c r="F48" s="20">
        <f>INDEX('10YR Treasury'!E:E,MATCH(B48,'10YR Treasury'!B:B,0))</f>
        <v>1.2035833333333332E-3</v>
      </c>
      <c r="G48" s="17">
        <f t="shared" si="3"/>
        <v>-0.11454386472989403</v>
      </c>
    </row>
    <row r="49" spans="1:7" x14ac:dyDescent="0.2">
      <c r="A49" s="3">
        <v>44498</v>
      </c>
      <c r="B49" s="18" t="str">
        <f t="shared" si="0"/>
        <v>10-2021</v>
      </c>
      <c r="C49" s="19">
        <v>213.65</v>
      </c>
      <c r="D49" s="19">
        <f>IFERROR(INDEX('CI - dividend'!H:H,MATCH(B49,'CI - dividend'!D:D,0)),0)</f>
        <v>0</v>
      </c>
      <c r="E49" s="20">
        <f t="shared" si="1"/>
        <v>5.8226070676339794E-2</v>
      </c>
      <c r="F49" s="20">
        <f>INDEX('10YR Treasury'!E:E,MATCH(B49,'10YR Treasury'!B:B,0))</f>
        <v>1.2934166666666667E-3</v>
      </c>
      <c r="G49" s="17">
        <f t="shared" si="3"/>
        <v>5.693265400967313E-2</v>
      </c>
    </row>
    <row r="50" spans="1:7" x14ac:dyDescent="0.2">
      <c r="A50" s="3">
        <v>44469</v>
      </c>
      <c r="B50" s="18" t="str">
        <f t="shared" si="0"/>
        <v>9-2021</v>
      </c>
      <c r="C50" s="19">
        <v>200.21</v>
      </c>
      <c r="D50" s="19">
        <f>IFERROR(INDEX('CI - dividend'!H:H,MATCH(B50,'CI - dividend'!D:D,0)),0)</f>
        <v>1</v>
      </c>
      <c r="E50" s="20">
        <f t="shared" si="1"/>
        <v>-5.1687291884101212E-2</v>
      </c>
      <c r="F50" s="20">
        <f>INDEX('10YR Treasury'!E:E,MATCH(B50,'10YR Treasury'!B:B,0))</f>
        <v>1.2394166666666667E-3</v>
      </c>
      <c r="G50" s="17">
        <f t="shared" si="3"/>
        <v>-5.2926708550767879E-2</v>
      </c>
    </row>
    <row r="51" spans="1:7" x14ac:dyDescent="0.2">
      <c r="A51" s="3">
        <v>44439</v>
      </c>
      <c r="B51" s="18" t="str">
        <f t="shared" si="0"/>
        <v>8-2021</v>
      </c>
      <c r="C51" s="19">
        <v>211.61</v>
      </c>
      <c r="D51" s="19">
        <f>IFERROR(INDEX('CI - dividend'!H:H,MATCH(B51,'CI - dividend'!D:D,0)),0)</f>
        <v>0</v>
      </c>
      <c r="E51" s="20">
        <f t="shared" si="1"/>
        <v>-8.4825858891356687E-2</v>
      </c>
      <c r="F51" s="20">
        <f>INDEX('10YR Treasury'!E:E,MATCH(B51,'10YR Treasury'!B:B,0))</f>
        <v>1.0906666666666667E-3</v>
      </c>
      <c r="G51" s="17">
        <f t="shared" si="3"/>
        <v>-8.5916525558023357E-2</v>
      </c>
    </row>
    <row r="52" spans="1:7" x14ac:dyDescent="0.2">
      <c r="A52" s="3">
        <v>44407</v>
      </c>
      <c r="B52" s="18" t="str">
        <f t="shared" si="0"/>
        <v>7-2021</v>
      </c>
      <c r="C52" s="19">
        <v>229.56</v>
      </c>
      <c r="D52" s="19">
        <f>IFERROR(INDEX('CI - dividend'!H:H,MATCH(B52,'CI - dividend'!D:D,0)),0)</f>
        <v>0</v>
      </c>
      <c r="E52" s="20">
        <f t="shared" si="1"/>
        <v>-3.7070918278445684E-2</v>
      </c>
      <c r="F52" s="20">
        <f>INDEX('10YR Treasury'!E:E,MATCH(B52,'10YR Treasury'!B:B,0))</f>
        <v>1.0185833333333334E-3</v>
      </c>
      <c r="G52" s="17">
        <f t="shared" si="3"/>
        <v>-3.8089501611779021E-2</v>
      </c>
    </row>
    <row r="53" spans="1:7" x14ac:dyDescent="0.2">
      <c r="A53" s="3">
        <v>44377</v>
      </c>
      <c r="B53" s="18" t="str">
        <f t="shared" si="0"/>
        <v>6-2021</v>
      </c>
      <c r="C53" s="19">
        <v>237.07</v>
      </c>
      <c r="D53" s="19">
        <f>IFERROR(INDEX('CI - dividend'!H:H,MATCH(B53,'CI - dividend'!D:D,0)),0)</f>
        <v>1</v>
      </c>
      <c r="E53" s="20">
        <f t="shared" si="1"/>
        <v>-8.7285252236737221E-2</v>
      </c>
      <c r="F53" s="20">
        <f>INDEX('10YR Treasury'!E:E,MATCH(B53,'10YR Treasury'!B:B,0))</f>
        <v>1.2233333333333332E-3</v>
      </c>
      <c r="G53" s="17">
        <f t="shared" si="3"/>
        <v>-8.8508585570070547E-2</v>
      </c>
    </row>
    <row r="54" spans="1:7" x14ac:dyDescent="0.2">
      <c r="A54" s="3">
        <v>44344</v>
      </c>
      <c r="B54" s="18" t="str">
        <f t="shared" si="0"/>
        <v>5-2021</v>
      </c>
      <c r="C54" s="19">
        <v>258.85000000000002</v>
      </c>
      <c r="D54" s="19">
        <f>IFERROR(INDEX('CI - dividend'!H:H,MATCH(B54,'CI - dividend'!D:D,0)),0)</f>
        <v>0</v>
      </c>
      <c r="E54" s="20">
        <f t="shared" si="1"/>
        <v>3.7125748502994063E-2</v>
      </c>
      <c r="F54" s="20">
        <f>INDEX('10YR Treasury'!E:E,MATCH(B54,'10YR Treasury'!B:B,0))</f>
        <v>1.3285833333333333E-3</v>
      </c>
      <c r="G54" s="17">
        <f t="shared" si="3"/>
        <v>3.5797165169660729E-2</v>
      </c>
    </row>
    <row r="55" spans="1:7" x14ac:dyDescent="0.2">
      <c r="A55" s="3">
        <v>44316</v>
      </c>
      <c r="B55" s="18" t="str">
        <f t="shared" si="0"/>
        <v>4-2021</v>
      </c>
      <c r="C55" s="19">
        <v>249.24</v>
      </c>
      <c r="D55" s="19">
        <f>IFERROR(INDEX('CI - dividend'!H:H,MATCH(B55,'CI - dividend'!D:D,0)),0)</f>
        <v>0</v>
      </c>
      <c r="E55" s="20">
        <f t="shared" si="1"/>
        <v>2.7122452254854833E-2</v>
      </c>
      <c r="F55" s="20">
        <f>INDEX('10YR Treasury'!E:E,MATCH(B55,'10YR Treasury'!B:B,0))</f>
        <v>1.3549166666666666E-3</v>
      </c>
      <c r="G55" s="17">
        <f t="shared" si="3"/>
        <v>2.5767535588188166E-2</v>
      </c>
    </row>
    <row r="56" spans="1:7" x14ac:dyDescent="0.2">
      <c r="A56" s="3">
        <v>44286</v>
      </c>
      <c r="B56" s="18" t="str">
        <f t="shared" si="0"/>
        <v>3-2021</v>
      </c>
      <c r="C56" s="19">
        <v>241.48</v>
      </c>
      <c r="D56" s="19">
        <f>IFERROR(INDEX('CI - dividend'!H:H,MATCH(B56,'CI - dividend'!D:D,0)),0)</f>
        <v>1</v>
      </c>
      <c r="E56" s="20">
        <f t="shared" si="1"/>
        <v>0.13440283734741013</v>
      </c>
      <c r="F56" s="20">
        <f>INDEX('10YR Treasury'!E:E,MATCH(B56,'10YR Treasury'!B:B,0))</f>
        <v>1.4503333333333332E-3</v>
      </c>
      <c r="G56" s="17">
        <f t="shared" si="3"/>
        <v>0.13295250401407679</v>
      </c>
    </row>
    <row r="57" spans="1:7" x14ac:dyDescent="0.2">
      <c r="A57" s="3">
        <v>44253</v>
      </c>
      <c r="B57" s="18" t="str">
        <f t="shared" si="0"/>
        <v>2-2021</v>
      </c>
      <c r="C57" s="19">
        <v>209.89</v>
      </c>
      <c r="D57" s="19">
        <f>IFERROR(INDEX('CI - dividend'!H:H,MATCH(B57,'CI - dividend'!D:D,0)),0)</f>
        <v>0</v>
      </c>
      <c r="E57" s="20">
        <f t="shared" si="1"/>
        <v>-3.28743627614465E-2</v>
      </c>
      <c r="F57" s="20">
        <f>INDEX('10YR Treasury'!E:E,MATCH(B57,'10YR Treasury'!B:B,0))</f>
        <v>1.1707500000000001E-3</v>
      </c>
      <c r="G57" s="17">
        <f t="shared" si="3"/>
        <v>-3.4045112761446499E-2</v>
      </c>
    </row>
    <row r="58" spans="1:7" x14ac:dyDescent="0.2">
      <c r="A58" s="3">
        <v>44225</v>
      </c>
      <c r="B58" s="18" t="str">
        <f t="shared" si="0"/>
        <v>1-2021</v>
      </c>
      <c r="C58" s="19">
        <v>216.79</v>
      </c>
      <c r="D58" s="19">
        <f>IFERROR(INDEX('CI - dividend'!H:H,MATCH(B58,'CI - dividend'!D:D,0)),0)</f>
        <v>0</v>
      </c>
      <c r="E58" s="20">
        <f t="shared" si="1"/>
        <v>4.123806448636929E-2</v>
      </c>
      <c r="F58" s="20">
        <f>INDEX('10YR Treasury'!E:E,MATCH(B58,'10YR Treasury'!B:B,0))</f>
        <v>8.8791666666666663E-4</v>
      </c>
      <c r="G58" s="17">
        <f t="shared" si="3"/>
        <v>4.0350147819702621E-2</v>
      </c>
    </row>
    <row r="59" spans="1:7" x14ac:dyDescent="0.2">
      <c r="A59" s="3">
        <v>44196</v>
      </c>
      <c r="B59" s="18" t="str">
        <f t="shared" si="0"/>
        <v>12-2020</v>
      </c>
      <c r="C59" s="19">
        <v>207.85</v>
      </c>
      <c r="D59" s="19">
        <f>IFERROR(INDEX('CI - dividend'!H:H,MATCH(B59,'CI - dividend'!D:D,0)),0)</f>
        <v>0</v>
      </c>
      <c r="E59" s="20">
        <f t="shared" si="1"/>
        <v>-6.2063988453211066E-3</v>
      </c>
      <c r="F59" s="20">
        <f>INDEX('10YR Treasury'!E:E,MATCH(B59,'10YR Treasury'!B:B,0))</f>
        <v>7.6099999999999996E-4</v>
      </c>
      <c r="G59" s="17">
        <f t="shared" si="3"/>
        <v>-6.9673988453211062E-3</v>
      </c>
    </row>
    <row r="60" spans="1:7" x14ac:dyDescent="0.2">
      <c r="A60" s="3">
        <v>44165</v>
      </c>
      <c r="B60" s="18" t="str">
        <f t="shared" si="0"/>
        <v>11-2020</v>
      </c>
      <c r="C60" s="19">
        <v>209.14</v>
      </c>
      <c r="D60" s="19">
        <f>IFERROR(INDEX('CI - dividend'!H:H,MATCH(B60,'CI - dividend'!D:D,0)),0)</f>
        <v>0</v>
      </c>
      <c r="E60" s="20">
        <f t="shared" si="1"/>
        <v>0.20168308310222807</v>
      </c>
      <c r="F60" s="20">
        <f>INDEX('10YR Treasury'!E:E,MATCH(B60,'10YR Treasury'!B:B,0))</f>
        <v>6.9908333333333335E-4</v>
      </c>
      <c r="G60" s="17">
        <f t="shared" si="3"/>
        <v>0.20098399976889475</v>
      </c>
    </row>
    <row r="61" spans="1:7" x14ac:dyDescent="0.2">
      <c r="A61" s="3">
        <v>44134</v>
      </c>
      <c r="B61" s="18" t="str">
        <f t="shared" si="0"/>
        <v>10-2020</v>
      </c>
      <c r="C61" s="19">
        <v>166.96</v>
      </c>
      <c r="D61" s="19">
        <f>IFERROR(INDEX('CI - dividend'!H:H,MATCH(B61,'CI - dividend'!D:D,0)),0)</f>
        <v>0</v>
      </c>
      <c r="E61" s="20">
        <f t="shared" si="1"/>
        <v>-1.3895543842836566E-2</v>
      </c>
      <c r="F61" s="20">
        <f>INDEX('10YR Treasury'!E:E,MATCH(B61,'10YR Treasury'!B:B,0))</f>
        <v>7.280833333333334E-4</v>
      </c>
      <c r="G61" s="17">
        <f t="shared" si="3"/>
        <v>-1.46236271761699E-2</v>
      </c>
    </row>
    <row r="62" spans="1:7" x14ac:dyDescent="0.2">
      <c r="A62" s="3">
        <v>44104</v>
      </c>
      <c r="B62" s="18" t="str">
        <f t="shared" si="0"/>
        <v>9-2020</v>
      </c>
      <c r="C62" s="19">
        <v>169.28</v>
      </c>
      <c r="D62" s="19">
        <f>IFERROR(INDEX('CI - dividend'!H:H,MATCH(B62,'CI - dividend'!D:D,0)),0)</f>
        <v>0</v>
      </c>
      <c r="E62" s="20">
        <f t="shared" si="1"/>
        <v>-4.8499527410207986E-2</v>
      </c>
      <c r="F62" s="20">
        <f>INDEX('10YR Treasury'!E:E,MATCH(B62,'10YR Treasury'!B:B,0))</f>
        <v>5.7000000000000009E-4</v>
      </c>
      <c r="G62" s="17">
        <f t="shared" si="3"/>
        <v>-4.9069527410207987E-2</v>
      </c>
    </row>
    <row r="63" spans="1:7" x14ac:dyDescent="0.2">
      <c r="A63" s="3">
        <v>44074</v>
      </c>
      <c r="B63" s="18" t="str">
        <f t="shared" si="0"/>
        <v>8-2020</v>
      </c>
      <c r="C63" s="19">
        <v>177.49</v>
      </c>
      <c r="D63" s="19">
        <f>IFERROR(INDEX('CI - dividend'!H:H,MATCH(B63,'CI - dividend'!D:D,0)),0)</f>
        <v>0</v>
      </c>
      <c r="E63" s="20">
        <f t="shared" si="1"/>
        <v>2.7043777114203679E-2</v>
      </c>
      <c r="F63" s="20">
        <f>INDEX('10YR Treasury'!E:E,MATCH(B63,'10YR Treasury'!B:B,0))</f>
        <v>5.8733333333333337E-4</v>
      </c>
      <c r="G63" s="17">
        <f t="shared" si="3"/>
        <v>2.6456443780870347E-2</v>
      </c>
    </row>
    <row r="64" spans="1:7" x14ac:dyDescent="0.2">
      <c r="A64" s="3">
        <v>44043</v>
      </c>
      <c r="B64" s="18" t="str">
        <f t="shared" si="0"/>
        <v>7-2020</v>
      </c>
      <c r="C64" s="19">
        <v>172.69</v>
      </c>
      <c r="D64" s="19">
        <f>IFERROR(INDEX('CI - dividend'!H:H,MATCH(B64,'CI - dividend'!D:D,0)),0)</f>
        <v>0</v>
      </c>
      <c r="E64" s="20">
        <f t="shared" si="1"/>
        <v>-8.5471075337309577E-2</v>
      </c>
      <c r="F64" s="20">
        <f>INDEX('10YR Treasury'!E:E,MATCH(B64,'10YR Treasury'!B:B,0))</f>
        <v>4.4016666666666667E-4</v>
      </c>
      <c r="G64" s="17">
        <f t="shared" si="3"/>
        <v>-8.5911242003976249E-2</v>
      </c>
    </row>
    <row r="65" spans="1:7" x14ac:dyDescent="0.2">
      <c r="A65" s="3">
        <v>44012</v>
      </c>
      <c r="B65" s="18" t="str">
        <f t="shared" si="0"/>
        <v>6-2020</v>
      </c>
      <c r="C65" s="19">
        <v>187.45</v>
      </c>
      <c r="D65" s="19">
        <f>IFERROR(INDEX('CI - dividend'!H:H,MATCH(B65,'CI - dividend'!D:D,0)),0)</f>
        <v>0</v>
      </c>
      <c r="E65" s="20">
        <f t="shared" si="1"/>
        <v>-5.1373699653240998E-2</v>
      </c>
      <c r="F65" s="20">
        <f>INDEX('10YR Treasury'!E:E,MATCH(B65,'10YR Treasury'!B:B,0))</f>
        <v>5.4675000000000004E-4</v>
      </c>
      <c r="G65" s="17">
        <f t="shared" si="3"/>
        <v>-5.1920449653240996E-2</v>
      </c>
    </row>
    <row r="66" spans="1:7" x14ac:dyDescent="0.2">
      <c r="A66" s="3">
        <v>43980</v>
      </c>
      <c r="B66" s="18" t="str">
        <f t="shared" si="0"/>
        <v>5-2020</v>
      </c>
      <c r="C66" s="19">
        <v>197.08</v>
      </c>
      <c r="D66" s="19">
        <f>IFERROR(INDEX('CI - dividend'!H:H,MATCH(B66,'CI - dividend'!D:D,0)),0)</f>
        <v>0</v>
      </c>
      <c r="E66" s="20">
        <f t="shared" si="1"/>
        <v>5.5814897503553007E-3</v>
      </c>
      <c r="F66" s="20">
        <f>INDEX('10YR Treasury'!E:E,MATCH(B66,'10YR Treasury'!B:B,0))</f>
        <v>5.4383333333333334E-4</v>
      </c>
      <c r="G66" s="17">
        <f t="shared" si="3"/>
        <v>5.037656417021967E-3</v>
      </c>
    </row>
    <row r="67" spans="1:7" x14ac:dyDescent="0.2">
      <c r="A67" s="3">
        <v>43951</v>
      </c>
      <c r="B67" s="18" t="str">
        <f t="shared" si="0"/>
        <v>4-2020</v>
      </c>
      <c r="C67" s="19">
        <v>195.98</v>
      </c>
      <c r="D67" s="19">
        <f>IFERROR(INDEX('CI - dividend'!H:H,MATCH(B67,'CI - dividend'!D:D,0)),0)</f>
        <v>0</v>
      </c>
      <c r="E67" s="20">
        <f t="shared" si="1"/>
        <v>9.7663026839473352E-2</v>
      </c>
      <c r="F67" s="20">
        <f>INDEX('10YR Treasury'!E:E,MATCH(B67,'10YR Treasury'!B:B,0))</f>
        <v>5.3275000000000002E-4</v>
      </c>
      <c r="G67" s="17">
        <f t="shared" si="3"/>
        <v>9.7130276839473353E-2</v>
      </c>
    </row>
    <row r="68" spans="1:7" x14ac:dyDescent="0.2">
      <c r="A68" s="3">
        <v>43921</v>
      </c>
      <c r="B68" s="18" t="str">
        <f t="shared" si="0"/>
        <v>3-2020</v>
      </c>
      <c r="C68" s="19">
        <v>176.8</v>
      </c>
      <c r="D68" s="19">
        <f>IFERROR(INDEX('CI - dividend'!H:H,MATCH(B68,'CI - dividend'!D:D,0)),0)</f>
        <v>0.04</v>
      </c>
      <c r="E68" s="21"/>
      <c r="F68" s="20">
        <f>INDEX('10YR Treasury'!E:E,MATCH(B68,'10YR Treasury'!B:B,0))</f>
        <v>5.5791666666666663E-4</v>
      </c>
      <c r="G68" s="39"/>
    </row>
    <row r="69" spans="1:7" x14ac:dyDescent="0.2">
      <c r="B69" s="33" t="s">
        <v>38</v>
      </c>
      <c r="C69" s="34">
        <f>AVERAGE(C9:C68)</f>
        <v>264.18266666666671</v>
      </c>
      <c r="D69" s="34"/>
      <c r="E69" s="35">
        <f>AVERAGE(E9:E68)</f>
        <v>6.1939936793938659E-3</v>
      </c>
      <c r="F69" s="35">
        <f>AVERAGE(F9:F68)</f>
        <v>2.3264222222222205E-3</v>
      </c>
      <c r="G69" s="36">
        <f t="shared" ref="G69" si="4">AVERAGE(G9:G68)</f>
        <v>3.8375967867385007E-3</v>
      </c>
    </row>
    <row r="70" spans="1:7" x14ac:dyDescent="0.2">
      <c r="B70" t="s">
        <v>15</v>
      </c>
      <c r="C70" s="5">
        <f>STDEV(C9:C68)</f>
        <v>55.504375880834111</v>
      </c>
      <c r="D70" s="5"/>
      <c r="E70" s="32">
        <f>STDEV(E9:E68)</f>
        <v>8.0452341559026863E-2</v>
      </c>
      <c r="F70" s="32">
        <f>STDEV(F9:F68)</f>
        <v>1.195243538176391E-3</v>
      </c>
      <c r="G70" s="37">
        <f t="shared" ref="G70" si="5">STDEV(G9:G68)</f>
        <v>8.0513730892471297E-2</v>
      </c>
    </row>
    <row r="71" spans="1:7" x14ac:dyDescent="0.2">
      <c r="B71" t="s">
        <v>39</v>
      </c>
      <c r="C71" s="58">
        <f>(C8-C68)/C68</f>
        <v>0.86187782805429858</v>
      </c>
      <c r="E71" s="10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17199-E2C3-4406-B5C6-7C06C649A9C2}">
  <sheetPr>
    <tabColor theme="3" tint="0.79998168889431442"/>
  </sheetPr>
  <dimension ref="A1:J20"/>
  <sheetViews>
    <sheetView workbookViewId="0">
      <selection activeCell="H2" sqref="H2"/>
    </sheetView>
  </sheetViews>
  <sheetFormatPr baseColWidth="10" defaultColWidth="8.83203125" defaultRowHeight="15" x14ac:dyDescent="0.2"/>
  <cols>
    <col min="1" max="1" width="3.6640625" bestFit="1" customWidth="1"/>
    <col min="2" max="2" width="11" bestFit="1" customWidth="1"/>
    <col min="3" max="3" width="7.5" bestFit="1" customWidth="1"/>
    <col min="4" max="4" width="10.83203125" bestFit="1" customWidth="1"/>
    <col min="5" max="5" width="7.5" bestFit="1" customWidth="1"/>
    <col min="6" max="6" width="8.5" bestFit="1" customWidth="1"/>
    <col min="7" max="7" width="4.5" bestFit="1" customWidth="1"/>
    <col min="8" max="8" width="7.5" bestFit="1" customWidth="1"/>
    <col min="9" max="9" width="10.6640625" bestFit="1" customWidth="1"/>
    <col min="10" max="10" width="14.6640625" bestFit="1" customWidth="1"/>
  </cols>
  <sheetData>
    <row r="1" spans="1:10" x14ac:dyDescent="0.2">
      <c r="A1" t="s">
        <v>41</v>
      </c>
      <c r="B1" s="4" t="s">
        <v>42</v>
      </c>
      <c r="C1" s="4" t="s">
        <v>43</v>
      </c>
      <c r="D1" s="7" t="s">
        <v>34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</row>
    <row r="2" spans="1:10" x14ac:dyDescent="0.2">
      <c r="A2" t="s">
        <v>50</v>
      </c>
      <c r="B2" s="3">
        <v>45687</v>
      </c>
      <c r="C2" s="3">
        <v>45721</v>
      </c>
      <c r="D2" s="1" t="str">
        <f>_xlfn.CONCAT(MONTH(C2),"-",YEAR(C2))</f>
        <v>3-2025</v>
      </c>
      <c r="E2" s="3">
        <v>45721</v>
      </c>
      <c r="F2" s="3">
        <v>45736</v>
      </c>
      <c r="G2" t="s">
        <v>32</v>
      </c>
      <c r="H2">
        <v>1.51</v>
      </c>
      <c r="I2" t="s">
        <v>51</v>
      </c>
      <c r="J2">
        <f>INDEX('CI - Stock PX'!C:C,MATCH(D2,'CI - Stock PX'!B:B,0))</f>
        <v>329.18</v>
      </c>
    </row>
    <row r="3" spans="1:10" x14ac:dyDescent="0.2">
      <c r="A3" t="s">
        <v>52</v>
      </c>
      <c r="B3" s="3">
        <v>45588</v>
      </c>
      <c r="C3" s="3">
        <v>45630</v>
      </c>
      <c r="D3" s="1" t="str">
        <f t="shared" ref="D3:D19" si="0">_xlfn.CONCAT(MONTH(C3),"-",YEAR(C3))</f>
        <v>12-2024</v>
      </c>
      <c r="E3" s="3">
        <v>45630</v>
      </c>
      <c r="F3" s="3">
        <v>45645</v>
      </c>
      <c r="G3" t="s">
        <v>32</v>
      </c>
      <c r="H3">
        <v>1.4</v>
      </c>
      <c r="I3" t="s">
        <v>51</v>
      </c>
      <c r="J3">
        <f>INDEX('CI - Stock PX'!C:C,MATCH(D3,'CI - Stock PX'!B:B,0))</f>
        <v>276.27999999999997</v>
      </c>
    </row>
    <row r="4" spans="1:10" x14ac:dyDescent="0.2">
      <c r="A4" t="s">
        <v>53</v>
      </c>
      <c r="B4" s="3">
        <v>45497</v>
      </c>
      <c r="C4" s="3">
        <v>45539</v>
      </c>
      <c r="D4" s="1" t="str">
        <f t="shared" si="0"/>
        <v>9-2024</v>
      </c>
      <c r="E4" s="3">
        <v>45539</v>
      </c>
      <c r="F4" s="3">
        <v>45554</v>
      </c>
      <c r="G4" t="s">
        <v>32</v>
      </c>
      <c r="H4">
        <v>1.4</v>
      </c>
      <c r="I4" t="s">
        <v>51</v>
      </c>
      <c r="J4">
        <f>INDEX('CI - Stock PX'!C:C,MATCH(D4,'CI - Stock PX'!B:B,0))</f>
        <v>346.43</v>
      </c>
    </row>
    <row r="5" spans="1:10" x14ac:dyDescent="0.2">
      <c r="A5" t="s">
        <v>54</v>
      </c>
      <c r="B5" s="3">
        <v>45406</v>
      </c>
      <c r="C5" s="3">
        <v>45447</v>
      </c>
      <c r="D5" s="1" t="str">
        <f t="shared" si="0"/>
        <v>6-2024</v>
      </c>
      <c r="E5" s="3">
        <v>45447</v>
      </c>
      <c r="F5" s="3">
        <v>45463</v>
      </c>
      <c r="G5" t="s">
        <v>32</v>
      </c>
      <c r="H5">
        <v>1.4</v>
      </c>
      <c r="I5" t="s">
        <v>51</v>
      </c>
      <c r="J5">
        <f>INDEX('CI - Stock PX'!C:C,MATCH(D5,'CI - Stock PX'!B:B,0))</f>
        <v>330.18</v>
      </c>
    </row>
    <row r="6" spans="1:10" x14ac:dyDescent="0.2">
      <c r="A6" t="s">
        <v>55</v>
      </c>
      <c r="B6" s="3">
        <v>45324</v>
      </c>
      <c r="C6" s="3">
        <v>45356</v>
      </c>
      <c r="D6" s="1" t="str">
        <f t="shared" si="0"/>
        <v>3-2024</v>
      </c>
      <c r="E6" s="3">
        <v>45357</v>
      </c>
      <c r="F6" s="3">
        <v>45372</v>
      </c>
      <c r="G6" t="s">
        <v>32</v>
      </c>
      <c r="H6">
        <v>1.4</v>
      </c>
      <c r="I6" t="s">
        <v>51</v>
      </c>
      <c r="J6">
        <f>INDEX('CI - Stock PX'!C:C,MATCH(D6,'CI - Stock PX'!B:B,0))</f>
        <v>363.19</v>
      </c>
    </row>
    <row r="7" spans="1:10" x14ac:dyDescent="0.2">
      <c r="A7" t="s">
        <v>56</v>
      </c>
      <c r="B7" s="3">
        <v>45224</v>
      </c>
      <c r="C7" s="3">
        <v>45265</v>
      </c>
      <c r="D7" s="1" t="str">
        <f t="shared" si="0"/>
        <v>12-2023</v>
      </c>
      <c r="E7" s="3">
        <v>45266</v>
      </c>
      <c r="F7" s="3">
        <v>45281</v>
      </c>
      <c r="G7" t="s">
        <v>32</v>
      </c>
      <c r="H7">
        <v>1.23</v>
      </c>
      <c r="I7" t="s">
        <v>51</v>
      </c>
      <c r="J7">
        <f>INDEX('CI - Stock PX'!C:C,MATCH(D7,'CI - Stock PX'!B:B,0))</f>
        <v>299.51</v>
      </c>
    </row>
    <row r="8" spans="1:10" x14ac:dyDescent="0.2">
      <c r="A8" t="s">
        <v>57</v>
      </c>
      <c r="B8" s="3">
        <v>45133</v>
      </c>
      <c r="C8" s="3">
        <v>45174</v>
      </c>
      <c r="D8" s="1" t="str">
        <f t="shared" si="0"/>
        <v>9-2023</v>
      </c>
      <c r="E8" s="3">
        <v>45175</v>
      </c>
      <c r="F8" s="3">
        <v>45190</v>
      </c>
      <c r="G8" t="s">
        <v>32</v>
      </c>
      <c r="H8">
        <v>1.23</v>
      </c>
      <c r="I8" t="s">
        <v>51</v>
      </c>
      <c r="J8">
        <f>INDEX('CI - Stock PX'!C:C,MATCH(D8,'CI - Stock PX'!B:B,0))</f>
        <v>286.08</v>
      </c>
    </row>
    <row r="9" spans="1:10" x14ac:dyDescent="0.2">
      <c r="A9" t="s">
        <v>58</v>
      </c>
      <c r="B9" s="3">
        <v>45042</v>
      </c>
      <c r="C9" s="3">
        <v>45083</v>
      </c>
      <c r="D9" s="1" t="str">
        <f t="shared" si="0"/>
        <v>6-2023</v>
      </c>
      <c r="E9" s="3">
        <v>45084</v>
      </c>
      <c r="F9" s="3">
        <v>45099</v>
      </c>
      <c r="G9" t="s">
        <v>32</v>
      </c>
      <c r="H9">
        <v>1.23</v>
      </c>
      <c r="I9" t="s">
        <v>51</v>
      </c>
      <c r="J9">
        <f>INDEX('CI - Stock PX'!C:C,MATCH(D9,'CI - Stock PX'!B:B,0))</f>
        <v>280.51</v>
      </c>
    </row>
    <row r="10" spans="1:10" x14ac:dyDescent="0.2">
      <c r="A10" t="s">
        <v>59</v>
      </c>
      <c r="B10" s="3">
        <v>44960</v>
      </c>
      <c r="C10" s="3">
        <v>44992</v>
      </c>
      <c r="D10" s="1" t="str">
        <f t="shared" si="0"/>
        <v>3-2023</v>
      </c>
      <c r="E10" s="3">
        <v>44993</v>
      </c>
      <c r="F10" s="3">
        <v>45008</v>
      </c>
      <c r="G10" t="s">
        <v>32</v>
      </c>
      <c r="H10">
        <v>1.23</v>
      </c>
      <c r="I10" t="s">
        <v>51</v>
      </c>
      <c r="J10">
        <f>INDEX('CI - Stock PX'!C:C,MATCH(D10,'CI - Stock PX'!B:B,0))</f>
        <v>255.31</v>
      </c>
    </row>
    <row r="11" spans="1:10" x14ac:dyDescent="0.2">
      <c r="A11" t="s">
        <v>60</v>
      </c>
      <c r="B11" s="3">
        <v>44860</v>
      </c>
      <c r="C11" s="3">
        <v>44900</v>
      </c>
      <c r="D11" s="1" t="str">
        <f t="shared" si="0"/>
        <v>12-2022</v>
      </c>
      <c r="E11" s="3">
        <v>44901</v>
      </c>
      <c r="F11" s="3">
        <v>44916</v>
      </c>
      <c r="G11" t="s">
        <v>32</v>
      </c>
      <c r="H11">
        <v>1.1200000000000001</v>
      </c>
      <c r="I11" t="s">
        <v>51</v>
      </c>
      <c r="J11">
        <f>INDEX('CI - Stock PX'!C:C,MATCH(D11,'CI - Stock PX'!B:B,0))</f>
        <v>331.37</v>
      </c>
    </row>
    <row r="12" spans="1:10" x14ac:dyDescent="0.2">
      <c r="A12" t="s">
        <v>61</v>
      </c>
      <c r="B12" s="3">
        <v>44769</v>
      </c>
      <c r="C12" s="3">
        <v>44810</v>
      </c>
      <c r="D12" s="1" t="str">
        <f t="shared" si="0"/>
        <v>9-2022</v>
      </c>
      <c r="E12" s="3">
        <v>44811</v>
      </c>
      <c r="F12" s="3">
        <v>44826</v>
      </c>
      <c r="G12" t="s">
        <v>32</v>
      </c>
      <c r="H12">
        <v>1.1200000000000001</v>
      </c>
      <c r="I12" t="s">
        <v>51</v>
      </c>
      <c r="J12">
        <f>INDEX('CI - Stock PX'!C:C,MATCH(D12,'CI - Stock PX'!B:B,0))</f>
        <v>277.7</v>
      </c>
    </row>
    <row r="13" spans="1:10" x14ac:dyDescent="0.2">
      <c r="A13" t="s">
        <v>62</v>
      </c>
      <c r="B13" s="3">
        <v>44678</v>
      </c>
      <c r="C13" s="3">
        <v>44719</v>
      </c>
      <c r="D13" s="1" t="str">
        <f t="shared" si="0"/>
        <v>6-2022</v>
      </c>
      <c r="E13" s="3">
        <v>44720</v>
      </c>
      <c r="F13" s="3">
        <v>44735</v>
      </c>
      <c r="G13" t="s">
        <v>32</v>
      </c>
      <c r="H13">
        <v>1.1200000000000001</v>
      </c>
      <c r="I13" t="s">
        <v>51</v>
      </c>
      <c r="J13">
        <f>INDEX('CI - Stock PX'!C:C,MATCH(D13,'CI - Stock PX'!B:B,0))</f>
        <v>263.54000000000002</v>
      </c>
    </row>
    <row r="14" spans="1:10" x14ac:dyDescent="0.2">
      <c r="A14" t="s">
        <v>63</v>
      </c>
      <c r="B14" s="3">
        <v>44595</v>
      </c>
      <c r="C14" s="3">
        <v>44628</v>
      </c>
      <c r="D14" s="1" t="str">
        <f t="shared" si="0"/>
        <v>3-2022</v>
      </c>
      <c r="E14" s="3">
        <v>44629</v>
      </c>
      <c r="F14" s="3">
        <v>44644</v>
      </c>
      <c r="G14" t="s">
        <v>32</v>
      </c>
      <c r="H14">
        <v>1.1200000000000001</v>
      </c>
      <c r="I14" t="s">
        <v>51</v>
      </c>
      <c r="J14">
        <f>INDEX('CI - Stock PX'!C:C,MATCH(D14,'CI - Stock PX'!B:B,0))</f>
        <v>239.63</v>
      </c>
    </row>
    <row r="15" spans="1:10" x14ac:dyDescent="0.2">
      <c r="A15" t="s">
        <v>64</v>
      </c>
      <c r="B15" s="3">
        <v>44496</v>
      </c>
      <c r="C15" s="3">
        <v>44536</v>
      </c>
      <c r="D15" s="1" t="str">
        <f t="shared" si="0"/>
        <v>12-2021</v>
      </c>
      <c r="E15" s="3">
        <v>44537</v>
      </c>
      <c r="F15" s="3">
        <v>44552</v>
      </c>
      <c r="G15" t="s">
        <v>32</v>
      </c>
      <c r="H15">
        <v>1</v>
      </c>
      <c r="I15" t="s">
        <v>51</v>
      </c>
      <c r="J15">
        <f>INDEX('CI - Stock PX'!C:C,MATCH(D15,'CI - Stock PX'!B:B,0))</f>
        <v>229.64</v>
      </c>
    </row>
    <row r="16" spans="1:10" x14ac:dyDescent="0.2">
      <c r="A16" t="s">
        <v>65</v>
      </c>
      <c r="B16" s="3">
        <v>44405</v>
      </c>
      <c r="C16" s="3">
        <v>44446</v>
      </c>
      <c r="D16" s="1" t="str">
        <f t="shared" si="0"/>
        <v>9-2021</v>
      </c>
      <c r="E16" s="3">
        <v>44447</v>
      </c>
      <c r="F16" s="3">
        <v>44462</v>
      </c>
      <c r="G16" t="s">
        <v>32</v>
      </c>
      <c r="H16">
        <v>1</v>
      </c>
      <c r="I16" t="s">
        <v>51</v>
      </c>
      <c r="J16">
        <f>INDEX('CI - Stock PX'!C:C,MATCH(D16,'CI - Stock PX'!B:B,0))</f>
        <v>200.21</v>
      </c>
    </row>
    <row r="17" spans="1:10" x14ac:dyDescent="0.2">
      <c r="A17" t="s">
        <v>66</v>
      </c>
      <c r="B17" s="3">
        <v>44314</v>
      </c>
      <c r="C17" s="3">
        <v>44354</v>
      </c>
      <c r="D17" s="1" t="str">
        <f t="shared" si="0"/>
        <v>6-2021</v>
      </c>
      <c r="E17" s="3">
        <v>44355</v>
      </c>
      <c r="F17" s="3">
        <v>44370</v>
      </c>
      <c r="G17" t="s">
        <v>32</v>
      </c>
      <c r="H17">
        <v>1</v>
      </c>
      <c r="I17" t="s">
        <v>51</v>
      </c>
      <c r="J17">
        <f>INDEX('CI - Stock PX'!C:C,MATCH(D17,'CI - Stock PX'!B:B,0))</f>
        <v>237.07</v>
      </c>
    </row>
    <row r="18" spans="1:10" x14ac:dyDescent="0.2">
      <c r="A18" t="s">
        <v>67</v>
      </c>
      <c r="B18" s="3">
        <v>44202</v>
      </c>
      <c r="C18" s="3">
        <v>44264</v>
      </c>
      <c r="D18" s="1" t="str">
        <f t="shared" si="0"/>
        <v>3-2021</v>
      </c>
      <c r="E18" s="3">
        <v>44265</v>
      </c>
      <c r="F18" s="3">
        <v>44280</v>
      </c>
      <c r="G18" t="s">
        <v>32</v>
      </c>
      <c r="H18">
        <v>1</v>
      </c>
      <c r="I18" t="s">
        <v>51</v>
      </c>
      <c r="J18">
        <f>INDEX('CI - Stock PX'!C:C,MATCH(D18,'CI - Stock PX'!B:B,0))</f>
        <v>241.48</v>
      </c>
    </row>
    <row r="19" spans="1:10" x14ac:dyDescent="0.2">
      <c r="A19" t="s">
        <v>68</v>
      </c>
      <c r="B19" s="3">
        <v>43887</v>
      </c>
      <c r="C19" s="3">
        <v>43899</v>
      </c>
      <c r="D19" s="1" t="str">
        <f t="shared" si="0"/>
        <v>3-2020</v>
      </c>
      <c r="E19" s="3">
        <v>43900</v>
      </c>
      <c r="F19" s="3">
        <v>43930</v>
      </c>
      <c r="G19" t="s">
        <v>32</v>
      </c>
      <c r="H19">
        <v>0.04</v>
      </c>
      <c r="I19" t="s">
        <v>51</v>
      </c>
      <c r="J19">
        <f>INDEX('CI - Stock PX'!C:C,MATCH(D19,'CI - Stock PX'!B:B,0))</f>
        <v>176.8</v>
      </c>
    </row>
    <row r="20" spans="1:10" x14ac:dyDescent="0.2">
      <c r="H20">
        <f>AVERAGE(H2:H19)</f>
        <v>1.1416666666666668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2E7A-0E24-4B09-A109-E57CC044806F}">
  <sheetPr>
    <tabColor theme="9" tint="0.79998168889431442"/>
  </sheetPr>
  <dimension ref="A1:G70"/>
  <sheetViews>
    <sheetView workbookViewId="0">
      <selection activeCell="G7" sqref="G7"/>
    </sheetView>
  </sheetViews>
  <sheetFormatPr baseColWidth="10" defaultColWidth="8.83203125" defaultRowHeight="15" x14ac:dyDescent="0.2"/>
  <cols>
    <col min="1" max="1" width="8.5" bestFit="1" customWidth="1"/>
    <col min="2" max="2" width="10.83203125" bestFit="1" customWidth="1"/>
    <col min="3" max="3" width="7.6640625" bestFit="1" customWidth="1"/>
    <col min="4" max="4" width="12.5" bestFit="1" customWidth="1"/>
    <col min="5" max="5" width="9.6640625" bestFit="1" customWidth="1"/>
    <col min="6" max="6" width="14.83203125" bestFit="1" customWidth="1"/>
    <col min="7" max="7" width="8.5" bestFit="1" customWidth="1"/>
  </cols>
  <sheetData>
    <row r="1" spans="1:7" x14ac:dyDescent="0.2">
      <c r="A1" t="s">
        <v>22</v>
      </c>
      <c r="B1" t="s">
        <v>69</v>
      </c>
    </row>
    <row r="2" spans="1:7" x14ac:dyDescent="0.2">
      <c r="A2" t="s">
        <v>27</v>
      </c>
      <c r="B2" s="2">
        <v>43553</v>
      </c>
    </row>
    <row r="3" spans="1:7" x14ac:dyDescent="0.2">
      <c r="A3" t="s">
        <v>28</v>
      </c>
      <c r="B3" s="2">
        <v>45747</v>
      </c>
    </row>
    <row r="4" spans="1:7" x14ac:dyDescent="0.2">
      <c r="A4" t="s">
        <v>29</v>
      </c>
      <c r="B4" t="s">
        <v>30</v>
      </c>
    </row>
    <row r="5" spans="1:7" x14ac:dyDescent="0.2">
      <c r="A5" t="s">
        <v>31</v>
      </c>
      <c r="B5" t="s">
        <v>32</v>
      </c>
    </row>
    <row r="7" spans="1:7" x14ac:dyDescent="0.2">
      <c r="A7" s="26" t="s">
        <v>33</v>
      </c>
      <c r="B7" s="27" t="s">
        <v>34</v>
      </c>
      <c r="C7" s="26" t="s">
        <v>35</v>
      </c>
      <c r="D7" s="13" t="s">
        <v>70</v>
      </c>
      <c r="E7" s="28" t="s">
        <v>18</v>
      </c>
      <c r="F7" s="14" t="s">
        <v>37</v>
      </c>
      <c r="G7" s="15" t="s">
        <v>17</v>
      </c>
    </row>
    <row r="8" spans="1:7" x14ac:dyDescent="0.2">
      <c r="A8" s="3">
        <v>45747</v>
      </c>
      <c r="B8" s="1" t="str">
        <f>_xlfn.CONCAT(MONTH(A8),"-",YEAR(A8))</f>
        <v>3-2025</v>
      </c>
      <c r="C8">
        <v>142.22</v>
      </c>
      <c r="D8">
        <f>IFERROR(INDEX('KMB - Dividends '!H:H,MATCH(B8,'KMB - Dividends '!D:D,0)),0)</f>
        <v>1.26</v>
      </c>
      <c r="E8" s="20">
        <f>((C8+D8)-(C9+D9))/(C8+D8)</f>
        <v>1.0245330359631996E-2</v>
      </c>
      <c r="F8" s="20">
        <f>INDEX('10YR Treasury'!E:E,MATCH(B8,'10YR Treasury'!B:B,0))</f>
        <v>3.504416666666667E-3</v>
      </c>
      <c r="G8" s="16">
        <f t="shared" ref="G8:G39" si="0">E8-F8</f>
        <v>6.7409136929653295E-3</v>
      </c>
    </row>
    <row r="9" spans="1:7" x14ac:dyDescent="0.2">
      <c r="A9" s="3">
        <v>45716</v>
      </c>
      <c r="B9" s="1" t="str">
        <f t="shared" ref="B9:B68" si="1">_xlfn.CONCAT(MONTH(A9),"-",YEAR(A9))</f>
        <v>2-2025</v>
      </c>
      <c r="C9">
        <v>142.01</v>
      </c>
      <c r="D9">
        <f>IFERROR(INDEX('KMB - Dividends '!H:H,MATCH(B9,'KMB - Dividends '!D:D,0)),0)</f>
        <v>0</v>
      </c>
      <c r="E9" s="20">
        <f t="shared" ref="E9:E67" si="2">((C9+D9)-(C10+D10))/(C9+D9)</f>
        <v>8.478276177733958E-2</v>
      </c>
      <c r="F9" s="20">
        <f>INDEX('10YR Treasury'!E:E,MATCH(B9,'10YR Treasury'!B:B,0))</f>
        <v>3.5068333333333332E-3</v>
      </c>
      <c r="G9" s="17">
        <f t="shared" si="0"/>
        <v>8.1275928444006246E-2</v>
      </c>
    </row>
    <row r="10" spans="1:7" x14ac:dyDescent="0.2">
      <c r="A10" s="3">
        <v>45688</v>
      </c>
      <c r="B10" s="1" t="str">
        <f t="shared" si="1"/>
        <v>1-2025</v>
      </c>
      <c r="C10">
        <v>129.97</v>
      </c>
      <c r="D10">
        <f>IFERROR(INDEX('KMB - Dividends '!H:H,MATCH(B10,'KMB - Dividends '!D:D,0)),0)</f>
        <v>0</v>
      </c>
      <c r="E10" s="20">
        <f t="shared" si="2"/>
        <v>-1.7619450642455889E-2</v>
      </c>
      <c r="F10" s="20">
        <f>INDEX('10YR Treasury'!E:E,MATCH(B10,'10YR Treasury'!B:B,0))</f>
        <v>3.7822500000000005E-3</v>
      </c>
      <c r="G10" s="17">
        <f t="shared" si="0"/>
        <v>-2.140170064245589E-2</v>
      </c>
    </row>
    <row r="11" spans="1:7" x14ac:dyDescent="0.2">
      <c r="A11" s="3">
        <v>45657</v>
      </c>
      <c r="B11" s="1" t="str">
        <f t="shared" si="1"/>
        <v>12-2024</v>
      </c>
      <c r="C11">
        <v>131.04</v>
      </c>
      <c r="D11">
        <f>IFERROR(INDEX('KMB - Dividends '!H:H,MATCH(B11,'KMB - Dividends '!D:D,0)),0)</f>
        <v>1.22</v>
      </c>
      <c r="E11" s="20">
        <f t="shared" si="2"/>
        <v>-5.3606532587328018E-2</v>
      </c>
      <c r="F11" s="20">
        <f>INDEX('10YR Treasury'!E:E,MATCH(B11,'10YR Treasury'!B:B,0))</f>
        <v>3.8075000000000001E-3</v>
      </c>
      <c r="G11" s="17">
        <f t="shared" si="0"/>
        <v>-5.7414032587328016E-2</v>
      </c>
    </row>
    <row r="12" spans="1:7" x14ac:dyDescent="0.2">
      <c r="A12" s="3">
        <v>45625</v>
      </c>
      <c r="B12" s="1" t="str">
        <f t="shared" si="1"/>
        <v>11-2024</v>
      </c>
      <c r="C12">
        <v>139.35</v>
      </c>
      <c r="D12">
        <f>IFERROR(INDEX('KMB - Dividends '!H:H,MATCH(B12,'KMB - Dividends '!D:D,0)),0)</f>
        <v>0</v>
      </c>
      <c r="E12" s="20">
        <f t="shared" si="2"/>
        <v>3.7100825260136257E-2</v>
      </c>
      <c r="F12" s="20">
        <f>INDEX('10YR Treasury'!E:E,MATCH(B12,'10YR Treasury'!B:B,0))</f>
        <v>3.4737499999999998E-3</v>
      </c>
      <c r="G12" s="17">
        <f t="shared" si="0"/>
        <v>3.3627075260136259E-2</v>
      </c>
    </row>
    <row r="13" spans="1:7" x14ac:dyDescent="0.2">
      <c r="A13" s="3">
        <v>45596</v>
      </c>
      <c r="B13" s="1" t="str">
        <f t="shared" si="1"/>
        <v>10-2024</v>
      </c>
      <c r="C13">
        <v>134.18</v>
      </c>
      <c r="D13">
        <f>IFERROR(INDEX('KMB - Dividends '!H:H,MATCH(B13,'KMB - Dividends '!D:D,0)),0)</f>
        <v>0</v>
      </c>
      <c r="E13" s="20">
        <f t="shared" si="2"/>
        <v>-6.9458935757937046E-2</v>
      </c>
      <c r="F13" s="20">
        <f>INDEX('10YR Treasury'!E:E,MATCH(B13,'10YR Treasury'!B:B,0))</f>
        <v>3.5703333333333333E-3</v>
      </c>
      <c r="G13" s="17">
        <f t="shared" si="0"/>
        <v>-7.3029269091270374E-2</v>
      </c>
    </row>
    <row r="14" spans="1:7" x14ac:dyDescent="0.2">
      <c r="A14" s="3">
        <v>45565</v>
      </c>
      <c r="B14" s="1" t="str">
        <f t="shared" si="1"/>
        <v>9-2024</v>
      </c>
      <c r="C14">
        <v>142.28</v>
      </c>
      <c r="D14">
        <f>IFERROR(INDEX('KMB - Dividends '!H:H,MATCH(B14,'KMB - Dividends '!D:D,0)),0)</f>
        <v>1.22</v>
      </c>
      <c r="E14" s="20">
        <f t="shared" si="2"/>
        <v>-8.0836236933797666E-3</v>
      </c>
      <c r="F14" s="20">
        <f>INDEX('10YR Treasury'!E:E,MATCH(B14,'10YR Treasury'!B:B,0))</f>
        <v>3.1507499999999999E-3</v>
      </c>
      <c r="G14" s="17">
        <f t="shared" si="0"/>
        <v>-1.1234373693379766E-2</v>
      </c>
    </row>
    <row r="15" spans="1:7" x14ac:dyDescent="0.2">
      <c r="A15" s="3">
        <v>45534</v>
      </c>
      <c r="B15" s="1" t="str">
        <f t="shared" si="1"/>
        <v>8-2024</v>
      </c>
      <c r="C15">
        <v>144.66</v>
      </c>
      <c r="D15">
        <f>IFERROR(INDEX('KMB - Dividends '!H:H,MATCH(B15,'KMB - Dividends '!D:D,0)),0)</f>
        <v>0</v>
      </c>
      <c r="E15" s="20">
        <f t="shared" si="2"/>
        <v>6.6431632794137885E-2</v>
      </c>
      <c r="F15" s="20">
        <f>INDEX('10YR Treasury'!E:E,MATCH(B15,'10YR Treasury'!B:B,0))</f>
        <v>3.2528333333333333E-3</v>
      </c>
      <c r="G15" s="17">
        <f t="shared" si="0"/>
        <v>6.3178799460804555E-2</v>
      </c>
    </row>
    <row r="16" spans="1:7" x14ac:dyDescent="0.2">
      <c r="A16" s="3">
        <v>45504</v>
      </c>
      <c r="B16" s="1" t="str">
        <f t="shared" si="1"/>
        <v>7-2024</v>
      </c>
      <c r="C16">
        <v>135.05000000000001</v>
      </c>
      <c r="D16">
        <f>IFERROR(INDEX('KMB - Dividends '!H:H,MATCH(B16,'KMB - Dividends '!D:D,0)),0)</f>
        <v>0</v>
      </c>
      <c r="E16" s="20">
        <f t="shared" si="2"/>
        <v>-3.2358385783043141E-2</v>
      </c>
      <c r="F16" s="20">
        <f>INDEX('10YR Treasury'!E:E,MATCH(B16,'10YR Treasury'!B:B,0))</f>
        <v>3.3580000000000003E-3</v>
      </c>
      <c r="G16" s="17">
        <f t="shared" si="0"/>
        <v>-3.5716385783043141E-2</v>
      </c>
    </row>
    <row r="17" spans="1:7" x14ac:dyDescent="0.2">
      <c r="A17" s="3">
        <v>45471</v>
      </c>
      <c r="B17" s="1" t="str">
        <f t="shared" si="1"/>
        <v>6-2024</v>
      </c>
      <c r="C17">
        <v>138.19999999999999</v>
      </c>
      <c r="D17">
        <f>IFERROR(INDEX('KMB - Dividends '!H:H,MATCH(B17,'KMB - Dividends '!D:D,0)),0)</f>
        <v>1.22</v>
      </c>
      <c r="E17" s="20">
        <f t="shared" si="2"/>
        <v>4.3896141156218454E-2</v>
      </c>
      <c r="F17" s="20">
        <f>INDEX('10YR Treasury'!E:E,MATCH(B17,'10YR Treasury'!B:B,0))</f>
        <v>3.6634166666666664E-3</v>
      </c>
      <c r="G17" s="17">
        <f t="shared" si="0"/>
        <v>4.0232724489551785E-2</v>
      </c>
    </row>
    <row r="18" spans="1:7" x14ac:dyDescent="0.2">
      <c r="A18" s="3">
        <v>45443</v>
      </c>
      <c r="B18" s="1" t="str">
        <f t="shared" si="1"/>
        <v>5-2024</v>
      </c>
      <c r="C18">
        <v>133.30000000000001</v>
      </c>
      <c r="D18">
        <f>IFERROR(INDEX('KMB - Dividends '!H:H,MATCH(B18,'KMB - Dividends '!D:D,0)),0)</f>
        <v>0</v>
      </c>
      <c r="E18" s="20">
        <f t="shared" si="2"/>
        <v>-2.4231057764441032E-2</v>
      </c>
      <c r="F18" s="20">
        <f>INDEX('10YR Treasury'!E:E,MATCH(B18,'10YR Treasury'!B:B,0))</f>
        <v>3.7487499999999999E-3</v>
      </c>
      <c r="G18" s="17">
        <f t="shared" si="0"/>
        <v>-2.797980776444103E-2</v>
      </c>
    </row>
    <row r="19" spans="1:7" x14ac:dyDescent="0.2">
      <c r="A19" s="3">
        <v>45412</v>
      </c>
      <c r="B19" s="1" t="str">
        <f t="shared" si="1"/>
        <v>4-2024</v>
      </c>
      <c r="C19">
        <v>136.53</v>
      </c>
      <c r="D19">
        <f>IFERROR(INDEX('KMB - Dividends '!H:H,MATCH(B19,'KMB - Dividends '!D:D,0)),0)</f>
        <v>0</v>
      </c>
      <c r="E19" s="20">
        <f t="shared" si="2"/>
        <v>4.36534095070681E-2</v>
      </c>
      <c r="F19" s="20">
        <f>INDEX('10YR Treasury'!E:E,MATCH(B19,'10YR Treasury'!B:B,0))</f>
        <v>3.8998333333333333E-3</v>
      </c>
      <c r="G19" s="17">
        <f t="shared" si="0"/>
        <v>3.9753576173734768E-2</v>
      </c>
    </row>
    <row r="20" spans="1:7" x14ac:dyDescent="0.2">
      <c r="A20" s="3">
        <v>45379</v>
      </c>
      <c r="B20" s="1" t="str">
        <f t="shared" si="1"/>
        <v>3-2024</v>
      </c>
      <c r="C20">
        <v>129.35</v>
      </c>
      <c r="D20">
        <f>IFERROR(INDEX('KMB - Dividends '!H:H,MATCH(B20,'KMB - Dividends '!D:D,0)),0)</f>
        <v>1.22</v>
      </c>
      <c r="E20" s="20">
        <f t="shared" si="2"/>
        <v>7.1992034923795606E-2</v>
      </c>
      <c r="F20" s="20">
        <f>INDEX('10YR Treasury'!E:E,MATCH(B20,'10YR Treasury'!B:B,0))</f>
        <v>3.5002500000000003E-3</v>
      </c>
      <c r="G20" s="17">
        <f t="shared" si="0"/>
        <v>6.8491784923795609E-2</v>
      </c>
    </row>
    <row r="21" spans="1:7" x14ac:dyDescent="0.2">
      <c r="A21" s="3">
        <v>45351</v>
      </c>
      <c r="B21" s="1" t="str">
        <f t="shared" si="1"/>
        <v>2-2024</v>
      </c>
      <c r="C21">
        <v>121.17</v>
      </c>
      <c r="D21">
        <f>IFERROR(INDEX('KMB - Dividends '!H:H,MATCH(B21,'KMB - Dividends '!D:D,0)),0)</f>
        <v>0</v>
      </c>
      <c r="E21" s="20">
        <f t="shared" si="2"/>
        <v>1.6505735743170987E-3</v>
      </c>
      <c r="F21" s="20">
        <f>INDEX('10YR Treasury'!E:E,MATCH(B21,'10YR Treasury'!B:B,0))</f>
        <v>3.5418333333333339E-3</v>
      </c>
      <c r="G21" s="17">
        <f t="shared" si="0"/>
        <v>-1.8912597590162352E-3</v>
      </c>
    </row>
    <row r="22" spans="1:7" x14ac:dyDescent="0.2">
      <c r="A22" s="3">
        <v>45322</v>
      </c>
      <c r="B22" s="1" t="str">
        <f t="shared" si="1"/>
        <v>1-2024</v>
      </c>
      <c r="C22">
        <v>120.97</v>
      </c>
      <c r="D22">
        <f>IFERROR(INDEX('KMB - Dividends '!H:H,MATCH(B22,'KMB - Dividends '!D:D,0)),0)</f>
        <v>0</v>
      </c>
      <c r="E22" s="20">
        <f t="shared" si="2"/>
        <v>-1.4218401256509987E-2</v>
      </c>
      <c r="F22" s="20">
        <f>INDEX('10YR Treasury'!E:E,MATCH(B22,'10YR Treasury'!B:B,0))</f>
        <v>3.2603333333333334E-3</v>
      </c>
      <c r="G22" s="17">
        <f t="shared" si="0"/>
        <v>-1.7478734589843319E-2</v>
      </c>
    </row>
    <row r="23" spans="1:7" x14ac:dyDescent="0.2">
      <c r="A23" s="3">
        <v>45289</v>
      </c>
      <c r="B23" s="1" t="str">
        <f t="shared" si="1"/>
        <v>12-2023</v>
      </c>
      <c r="C23">
        <v>121.51</v>
      </c>
      <c r="D23">
        <f>IFERROR(INDEX('KMB - Dividends '!H:H,MATCH(B23,'KMB - Dividends '!D:D,0)),0)</f>
        <v>1.18</v>
      </c>
      <c r="E23" s="20">
        <f t="shared" si="2"/>
        <v>-8.4766484636074006E-3</v>
      </c>
      <c r="F23" s="20">
        <f>INDEX('10YR Treasury'!E:E,MATCH(B23,'10YR Treasury'!B:B,0))</f>
        <v>3.2325833333333334E-3</v>
      </c>
      <c r="G23" s="17">
        <f t="shared" si="0"/>
        <v>-1.1709231796940734E-2</v>
      </c>
    </row>
    <row r="24" spans="1:7" x14ac:dyDescent="0.2">
      <c r="A24" s="3">
        <v>45260</v>
      </c>
      <c r="B24" s="1" t="str">
        <f t="shared" si="1"/>
        <v>11-2023</v>
      </c>
      <c r="C24">
        <v>123.73</v>
      </c>
      <c r="D24">
        <f>IFERROR(INDEX('KMB - Dividends '!H:H,MATCH(B24,'KMB - Dividends '!D:D,0)),0)</f>
        <v>0</v>
      </c>
      <c r="E24" s="20">
        <f t="shared" si="2"/>
        <v>3.3055847409682398E-2</v>
      </c>
      <c r="F24" s="20">
        <f>INDEX('10YR Treasury'!E:E,MATCH(B24,'10YR Treasury'!B:B,0))</f>
        <v>3.6053333333333328E-3</v>
      </c>
      <c r="G24" s="17">
        <f t="shared" si="0"/>
        <v>2.9450514076349067E-2</v>
      </c>
    </row>
    <row r="25" spans="1:7" x14ac:dyDescent="0.2">
      <c r="A25" s="3">
        <v>45230</v>
      </c>
      <c r="B25" s="1" t="str">
        <f t="shared" si="1"/>
        <v>10-2023</v>
      </c>
      <c r="C25">
        <v>119.64</v>
      </c>
      <c r="D25">
        <f>IFERROR(INDEX('KMB - Dividends '!H:H,MATCH(B25,'KMB - Dividends '!D:D,0)),0)</f>
        <v>0</v>
      </c>
      <c r="E25" s="20">
        <f t="shared" si="2"/>
        <v>-1.9976596456034775E-2</v>
      </c>
      <c r="F25" s="20">
        <f>INDEX('10YR Treasury'!E:E,MATCH(B25,'10YR Treasury'!B:B,0))</f>
        <v>4.108916666666667E-3</v>
      </c>
      <c r="G25" s="17">
        <f t="shared" si="0"/>
        <v>-2.4085513122701442E-2</v>
      </c>
    </row>
    <row r="26" spans="1:7" x14ac:dyDescent="0.2">
      <c r="A26" s="3">
        <v>45198</v>
      </c>
      <c r="B26" s="1" t="str">
        <f t="shared" si="1"/>
        <v>9-2023</v>
      </c>
      <c r="C26">
        <v>120.85</v>
      </c>
      <c r="D26">
        <f>IFERROR(INDEX('KMB - Dividends '!H:H,MATCH(B26,'KMB - Dividends '!D:D,0)),0)</f>
        <v>1.18</v>
      </c>
      <c r="E26" s="20">
        <f t="shared" si="2"/>
        <v>-5.5724002294517835E-2</v>
      </c>
      <c r="F26" s="20">
        <f>INDEX('10YR Treasury'!E:E,MATCH(B26,'10YR Treasury'!B:B,0))</f>
        <v>3.8092500000000001E-3</v>
      </c>
      <c r="G26" s="17">
        <f t="shared" si="0"/>
        <v>-5.9533252294517836E-2</v>
      </c>
    </row>
    <row r="27" spans="1:7" x14ac:dyDescent="0.2">
      <c r="A27" s="3">
        <v>45169</v>
      </c>
      <c r="B27" s="1" t="str">
        <f t="shared" si="1"/>
        <v>8-2023</v>
      </c>
      <c r="C27">
        <v>128.83000000000001</v>
      </c>
      <c r="D27">
        <f>IFERROR(INDEX('KMB - Dividends '!H:H,MATCH(B27,'KMB - Dividends '!D:D,0)),0)</f>
        <v>0</v>
      </c>
      <c r="E27" s="20">
        <f t="shared" si="2"/>
        <v>-2.0957851432118432E-3</v>
      </c>
      <c r="F27" s="20">
        <f>INDEX('10YR Treasury'!E:E,MATCH(B27,'10YR Treasury'!B:B,0))</f>
        <v>3.4234166666666671E-3</v>
      </c>
      <c r="G27" s="17">
        <f t="shared" si="0"/>
        <v>-5.5192018098785102E-3</v>
      </c>
    </row>
    <row r="28" spans="1:7" x14ac:dyDescent="0.2">
      <c r="A28" s="3">
        <v>45138</v>
      </c>
      <c r="B28" s="1" t="str">
        <f t="shared" si="1"/>
        <v>7-2023</v>
      </c>
      <c r="C28">
        <v>129.1</v>
      </c>
      <c r="D28">
        <f>IFERROR(INDEX('KMB - Dividends '!H:H,MATCH(B28,'KMB - Dividends '!D:D,0)),0)</f>
        <v>0</v>
      </c>
      <c r="E28" s="20">
        <f t="shared" si="2"/>
        <v>-7.8543764523625215E-2</v>
      </c>
      <c r="F28" s="20">
        <f>INDEX('10YR Treasury'!E:E,MATCH(B28,'10YR Treasury'!B:B,0))</f>
        <v>3.2990000000000003E-3</v>
      </c>
      <c r="G28" s="17">
        <f t="shared" si="0"/>
        <v>-8.1842764523625211E-2</v>
      </c>
    </row>
    <row r="29" spans="1:7" x14ac:dyDescent="0.2">
      <c r="A29" s="3">
        <v>45107</v>
      </c>
      <c r="B29" s="1" t="str">
        <f t="shared" si="1"/>
        <v>6-2023</v>
      </c>
      <c r="C29">
        <v>138.06</v>
      </c>
      <c r="D29">
        <f>IFERROR(INDEX('KMB - Dividends '!H:H,MATCH(B29,'KMB - Dividends '!D:D,0)),0)</f>
        <v>1.18</v>
      </c>
      <c r="E29" s="20">
        <f t="shared" si="2"/>
        <v>3.5621947716173566E-2</v>
      </c>
      <c r="F29" s="20">
        <f>INDEX('10YR Treasury'!E:E,MATCH(B29,'10YR Treasury'!B:B,0))</f>
        <v>3.19725E-3</v>
      </c>
      <c r="G29" s="17">
        <f t="shared" si="0"/>
        <v>3.2424697716173567E-2</v>
      </c>
    </row>
    <row r="30" spans="1:7" x14ac:dyDescent="0.2">
      <c r="A30" s="3">
        <v>45077</v>
      </c>
      <c r="B30" s="1" t="str">
        <f t="shared" si="1"/>
        <v>5-2023</v>
      </c>
      <c r="C30">
        <v>134.28</v>
      </c>
      <c r="D30">
        <f>IFERROR(INDEX('KMB - Dividends '!H:H,MATCH(B30,'KMB - Dividends '!D:D,0)),0)</f>
        <v>0</v>
      </c>
      <c r="E30" s="20">
        <f t="shared" si="2"/>
        <v>-7.901400059576992E-2</v>
      </c>
      <c r="F30" s="20">
        <f>INDEX('10YR Treasury'!E:E,MATCH(B30,'10YR Treasury'!B:B,0))</f>
        <v>3.0355E-3</v>
      </c>
      <c r="G30" s="17">
        <f t="shared" si="0"/>
        <v>-8.2049500595769917E-2</v>
      </c>
    </row>
    <row r="31" spans="1:7" x14ac:dyDescent="0.2">
      <c r="A31" s="3">
        <v>45044</v>
      </c>
      <c r="B31" s="1" t="str">
        <f t="shared" si="1"/>
        <v>4-2023</v>
      </c>
      <c r="C31">
        <v>144.88999999999999</v>
      </c>
      <c r="D31">
        <f>IFERROR(INDEX('KMB - Dividends '!H:H,MATCH(B31,'KMB - Dividends '!D:D,0)),0)</f>
        <v>0</v>
      </c>
      <c r="E31" s="20">
        <f t="shared" si="2"/>
        <v>6.5497963972668799E-2</v>
      </c>
      <c r="F31" s="20">
        <f>INDEX('10YR Treasury'!E:E,MATCH(B31,'10YR Treasury'!B:B,0))</f>
        <v>2.8516666666666668E-3</v>
      </c>
      <c r="G31" s="17">
        <f t="shared" si="0"/>
        <v>6.264629730600213E-2</v>
      </c>
    </row>
    <row r="32" spans="1:7" x14ac:dyDescent="0.2">
      <c r="A32" s="3">
        <v>45016</v>
      </c>
      <c r="B32" s="1" t="str">
        <f t="shared" si="1"/>
        <v>3-2023</v>
      </c>
      <c r="C32">
        <v>134.22</v>
      </c>
      <c r="D32">
        <f>IFERROR(INDEX('KMB - Dividends '!H:H,MATCH(B32,'KMB - Dividends '!D:D,0)),0)</f>
        <v>1.18</v>
      </c>
      <c r="E32" s="20">
        <f t="shared" si="2"/>
        <v>7.6440177252584993E-2</v>
      </c>
      <c r="F32" s="20">
        <f>INDEX('10YR Treasury'!E:E,MATCH(B32,'10YR Treasury'!B:B,0))</f>
        <v>2.8896666666666667E-3</v>
      </c>
      <c r="G32" s="17">
        <f t="shared" si="0"/>
        <v>7.3550510585918327E-2</v>
      </c>
    </row>
    <row r="33" spans="1:7" x14ac:dyDescent="0.2">
      <c r="A33" s="3">
        <v>44985</v>
      </c>
      <c r="B33" s="1" t="str">
        <f t="shared" si="1"/>
        <v>2-2023</v>
      </c>
      <c r="C33">
        <v>125.05</v>
      </c>
      <c r="D33">
        <f>IFERROR(INDEX('KMB - Dividends '!H:H,MATCH(B33,'KMB - Dividends '!D:D,0)),0)</f>
        <v>0</v>
      </c>
      <c r="E33" s="20">
        <f t="shared" si="2"/>
        <v>-3.9664134346261447E-2</v>
      </c>
      <c r="F33" s="20">
        <f>INDEX('10YR Treasury'!E:E,MATCH(B33,'10YR Treasury'!B:B,0))</f>
        <v>3.2666666666666664E-3</v>
      </c>
      <c r="G33" s="17">
        <f t="shared" si="0"/>
        <v>-4.2930801012928115E-2</v>
      </c>
    </row>
    <row r="34" spans="1:7" x14ac:dyDescent="0.2">
      <c r="A34" s="3">
        <v>44957</v>
      </c>
      <c r="B34" s="1" t="str">
        <f t="shared" si="1"/>
        <v>1-2023</v>
      </c>
      <c r="C34">
        <v>130.01</v>
      </c>
      <c r="D34">
        <f>IFERROR(INDEX('KMB - Dividends '!H:H,MATCH(B34,'KMB - Dividends '!D:D,0)),0)</f>
        <v>0</v>
      </c>
      <c r="E34" s="20">
        <f t="shared" si="2"/>
        <v>-5.3072840550726912E-2</v>
      </c>
      <c r="F34" s="20">
        <f>INDEX('10YR Treasury'!E:E,MATCH(B34,'10YR Treasury'!B:B,0))</f>
        <v>2.9224166666666665E-3</v>
      </c>
      <c r="G34" s="17">
        <f t="shared" si="0"/>
        <v>-5.5995257217393575E-2</v>
      </c>
    </row>
    <row r="35" spans="1:7" x14ac:dyDescent="0.2">
      <c r="A35" s="3">
        <v>44925</v>
      </c>
      <c r="B35" s="1" t="str">
        <f t="shared" si="1"/>
        <v>12-2022</v>
      </c>
      <c r="C35">
        <v>135.75</v>
      </c>
      <c r="D35">
        <f>IFERROR(INDEX('KMB - Dividends '!H:H,MATCH(B35,'KMB - Dividends '!D:D,0)),0)</f>
        <v>1.1599999999999999</v>
      </c>
      <c r="E35" s="20">
        <f t="shared" si="2"/>
        <v>9.3492075085822891E-3</v>
      </c>
      <c r="F35" s="20">
        <f>INDEX('10YR Treasury'!E:E,MATCH(B35,'10YR Treasury'!B:B,0))</f>
        <v>3.2290000000000001E-3</v>
      </c>
      <c r="G35" s="17">
        <f t="shared" si="0"/>
        <v>6.120207508582289E-3</v>
      </c>
    </row>
    <row r="36" spans="1:7" x14ac:dyDescent="0.2">
      <c r="A36" s="3">
        <v>44895</v>
      </c>
      <c r="B36" s="1" t="str">
        <f t="shared" si="1"/>
        <v>11-2022</v>
      </c>
      <c r="C36">
        <v>135.63</v>
      </c>
      <c r="D36">
        <f>IFERROR(INDEX('KMB - Dividends '!H:H,MATCH(B36,'KMB - Dividends '!D:D,0)),0)</f>
        <v>0</v>
      </c>
      <c r="E36" s="20">
        <f t="shared" si="2"/>
        <v>8.2356410823564125E-2</v>
      </c>
      <c r="F36" s="20">
        <f>INDEX('10YR Treasury'!E:E,MATCH(B36,'10YR Treasury'!B:B,0))</f>
        <v>3.0044999999999998E-3</v>
      </c>
      <c r="G36" s="17">
        <f t="shared" si="0"/>
        <v>7.9351910823564131E-2</v>
      </c>
    </row>
    <row r="37" spans="1:7" x14ac:dyDescent="0.2">
      <c r="A37" s="3">
        <v>44865</v>
      </c>
      <c r="B37" s="1" t="str">
        <f t="shared" si="1"/>
        <v>10-2022</v>
      </c>
      <c r="C37">
        <v>124.46</v>
      </c>
      <c r="D37">
        <f>IFERROR(INDEX('KMB - Dividends '!H:H,MATCH(B37,'KMB - Dividends '!D:D,0)),0)</f>
        <v>0</v>
      </c>
      <c r="E37" s="20">
        <f t="shared" si="2"/>
        <v>8.6453479029406977E-2</v>
      </c>
      <c r="F37" s="20">
        <f>INDEX('10YR Treasury'!E:E,MATCH(B37,'10YR Treasury'!B:B,0))</f>
        <v>3.3731666666666662E-3</v>
      </c>
      <c r="G37" s="17">
        <f t="shared" si="0"/>
        <v>8.3080312362740313E-2</v>
      </c>
    </row>
    <row r="38" spans="1:7" x14ac:dyDescent="0.2">
      <c r="A38" s="3">
        <v>44834</v>
      </c>
      <c r="B38" s="1" t="str">
        <f t="shared" si="1"/>
        <v>9-2022</v>
      </c>
      <c r="C38">
        <v>112.54</v>
      </c>
      <c r="D38">
        <f>IFERROR(INDEX('KMB - Dividends '!H:H,MATCH(B38,'KMB - Dividends '!D:D,0)),0)</f>
        <v>1.1599999999999999</v>
      </c>
      <c r="E38" s="20">
        <f t="shared" si="2"/>
        <v>-0.12154793315743177</v>
      </c>
      <c r="F38" s="20">
        <f>INDEX('10YR Treasury'!E:E,MATCH(B38,'10YR Treasury'!B:B,0))</f>
        <v>3.1904999999999998E-3</v>
      </c>
      <c r="G38" s="17">
        <f t="shared" si="0"/>
        <v>-0.12473843315743177</v>
      </c>
    </row>
    <row r="39" spans="1:7" x14ac:dyDescent="0.2">
      <c r="A39" s="3">
        <v>44804</v>
      </c>
      <c r="B39" s="1" t="str">
        <f t="shared" si="1"/>
        <v>8-2022</v>
      </c>
      <c r="C39">
        <v>127.52</v>
      </c>
      <c r="D39">
        <f>IFERROR(INDEX('KMB - Dividends '!H:H,MATCH(B39,'KMB - Dividends '!D:D,0)),0)</f>
        <v>0</v>
      </c>
      <c r="E39" s="20">
        <f t="shared" si="2"/>
        <v>-3.3484943538268475E-2</v>
      </c>
      <c r="F39" s="20">
        <f>INDEX('10YR Treasury'!E:E,MATCH(B39,'10YR Treasury'!B:B,0))</f>
        <v>2.6605000000000001E-3</v>
      </c>
      <c r="G39" s="17">
        <f t="shared" si="0"/>
        <v>-3.6145443538268478E-2</v>
      </c>
    </row>
    <row r="40" spans="1:7" x14ac:dyDescent="0.2">
      <c r="A40" s="3">
        <v>44771</v>
      </c>
      <c r="B40" s="1" t="str">
        <f t="shared" si="1"/>
        <v>7-2022</v>
      </c>
      <c r="C40">
        <v>131.79</v>
      </c>
      <c r="D40">
        <f>IFERROR(INDEX('KMB - Dividends '!H:H,MATCH(B40,'KMB - Dividends '!D:D,0)),0)</f>
        <v>0</v>
      </c>
      <c r="E40" s="20">
        <f t="shared" si="2"/>
        <v>-3.429698763183861E-2</v>
      </c>
      <c r="F40" s="20">
        <f>INDEX('10YR Treasury'!E:E,MATCH(B40,'10YR Treasury'!B:B,0))</f>
        <v>2.20725E-3</v>
      </c>
      <c r="G40" s="17">
        <f t="shared" ref="G40:G67" si="3">E40-F40</f>
        <v>-3.6504237631838611E-2</v>
      </c>
    </row>
    <row r="41" spans="1:7" x14ac:dyDescent="0.2">
      <c r="A41" s="3">
        <v>44742</v>
      </c>
      <c r="B41" s="1" t="str">
        <f t="shared" si="1"/>
        <v>6-2022</v>
      </c>
      <c r="C41">
        <v>135.15</v>
      </c>
      <c r="D41">
        <f>IFERROR(INDEX('KMB - Dividends '!H:H,MATCH(B41,'KMB - Dividends '!D:D,0)),0)</f>
        <v>1.1599999999999999</v>
      </c>
      <c r="E41" s="20">
        <f t="shared" si="2"/>
        <v>2.4136160223020998E-2</v>
      </c>
      <c r="F41" s="20">
        <f>INDEX('10YR Treasury'!E:E,MATCH(B41,'10YR Treasury'!B:B,0))</f>
        <v>2.51075E-3</v>
      </c>
      <c r="G41" s="17">
        <f t="shared" si="3"/>
        <v>2.1625410223020999E-2</v>
      </c>
    </row>
    <row r="42" spans="1:7" x14ac:dyDescent="0.2">
      <c r="A42" s="3">
        <v>44712</v>
      </c>
      <c r="B42" s="1" t="str">
        <f t="shared" si="1"/>
        <v>5-2022</v>
      </c>
      <c r="C42">
        <v>133.02000000000001</v>
      </c>
      <c r="D42">
        <f>IFERROR(INDEX('KMB - Dividends '!H:H,MATCH(B42,'KMB - Dividends '!D:D,0)),0)</f>
        <v>0</v>
      </c>
      <c r="E42" s="20">
        <f t="shared" si="2"/>
        <v>-4.3677642459780501E-2</v>
      </c>
      <c r="F42" s="20">
        <f>INDEX('10YR Treasury'!E:E,MATCH(B42,'10YR Treasury'!B:B,0))</f>
        <v>2.3700833333333334E-3</v>
      </c>
      <c r="G42" s="17">
        <f t="shared" si="3"/>
        <v>-4.6047725793113836E-2</v>
      </c>
    </row>
    <row r="43" spans="1:7" x14ac:dyDescent="0.2">
      <c r="A43" s="3">
        <v>44680</v>
      </c>
      <c r="B43" s="1" t="str">
        <f t="shared" si="1"/>
        <v>4-2022</v>
      </c>
      <c r="C43">
        <v>138.83000000000001</v>
      </c>
      <c r="D43">
        <f>IFERROR(INDEX('KMB - Dividends '!H:H,MATCH(B43,'KMB - Dividends '!D:D,0)),0)</f>
        <v>0</v>
      </c>
      <c r="E43" s="20">
        <f t="shared" si="2"/>
        <v>0.10451631491752517</v>
      </c>
      <c r="F43" s="20">
        <f>INDEX('10YR Treasury'!E:E,MATCH(B43,'10YR Treasury'!B:B,0))</f>
        <v>2.444666666666667E-3</v>
      </c>
      <c r="G43" s="17">
        <f t="shared" si="3"/>
        <v>0.1020716482508585</v>
      </c>
    </row>
    <row r="44" spans="1:7" x14ac:dyDescent="0.2">
      <c r="A44" s="3">
        <v>44651</v>
      </c>
      <c r="B44" s="1" t="str">
        <f t="shared" si="1"/>
        <v>3-2022</v>
      </c>
      <c r="C44">
        <v>123.16</v>
      </c>
      <c r="D44">
        <f>IFERROR(INDEX('KMB - Dividends '!H:H,MATCH(B44,'KMB - Dividends '!D:D,0)),0)</f>
        <v>1.1599999999999999</v>
      </c>
      <c r="E44" s="20">
        <f t="shared" si="2"/>
        <v>-4.6895109395109498E-2</v>
      </c>
      <c r="F44" s="20">
        <f>INDEX('10YR Treasury'!E:E,MATCH(B44,'10YR Treasury'!B:B,0))</f>
        <v>1.9483333333333334E-3</v>
      </c>
      <c r="G44" s="17">
        <f t="shared" si="3"/>
        <v>-4.8843442728442835E-2</v>
      </c>
    </row>
    <row r="45" spans="1:7" x14ac:dyDescent="0.2">
      <c r="A45" s="3">
        <v>44620</v>
      </c>
      <c r="B45" s="1" t="str">
        <f t="shared" si="1"/>
        <v>2-2022</v>
      </c>
      <c r="C45">
        <v>130.15</v>
      </c>
      <c r="D45">
        <f>IFERROR(INDEX('KMB - Dividends '!H:H,MATCH(B45,'KMB - Dividends '!D:D,0)),0)</f>
        <v>0</v>
      </c>
      <c r="E45" s="20">
        <f t="shared" si="2"/>
        <v>-5.7625816365731844E-2</v>
      </c>
      <c r="F45" s="20">
        <f>INDEX('10YR Treasury'!E:E,MATCH(B45,'10YR Treasury'!B:B,0))</f>
        <v>1.5208333333333332E-3</v>
      </c>
      <c r="G45" s="17">
        <f t="shared" si="3"/>
        <v>-5.9146649699065176E-2</v>
      </c>
    </row>
    <row r="46" spans="1:7" x14ac:dyDescent="0.2">
      <c r="A46" s="3">
        <v>44592</v>
      </c>
      <c r="B46" s="1" t="str">
        <f t="shared" si="1"/>
        <v>1-2022</v>
      </c>
      <c r="C46">
        <v>137.65</v>
      </c>
      <c r="D46">
        <f>IFERROR(INDEX('KMB - Dividends '!H:H,MATCH(B46,'KMB - Dividends '!D:D,0)),0)</f>
        <v>0</v>
      </c>
      <c r="E46" s="20">
        <f t="shared" si="2"/>
        <v>-4.6567381038866457E-2</v>
      </c>
      <c r="F46" s="20">
        <f>INDEX('10YR Treasury'!E:E,MATCH(B46,'10YR Treasury'!B:B,0))</f>
        <v>1.4805833333333333E-3</v>
      </c>
      <c r="G46" s="17">
        <f t="shared" si="3"/>
        <v>-4.804796437219979E-2</v>
      </c>
    </row>
    <row r="47" spans="1:7" x14ac:dyDescent="0.2">
      <c r="A47" s="3">
        <v>44561</v>
      </c>
      <c r="B47" s="1" t="str">
        <f t="shared" si="1"/>
        <v>12-2021</v>
      </c>
      <c r="C47">
        <v>142.91999999999999</v>
      </c>
      <c r="D47">
        <f>IFERROR(INDEX('KMB - Dividends '!H:H,MATCH(B47,'KMB - Dividends '!D:D,0)),0)</f>
        <v>1.1399999999999999</v>
      </c>
      <c r="E47" s="20">
        <f t="shared" si="2"/>
        <v>9.5446341802026755E-2</v>
      </c>
      <c r="F47" s="20">
        <f>INDEX('10YR Treasury'!E:E,MATCH(B47,'10YR Treasury'!B:B,0))</f>
        <v>1.2584166666666666E-3</v>
      </c>
      <c r="G47" s="17">
        <f t="shared" si="3"/>
        <v>9.418792513536009E-2</v>
      </c>
    </row>
    <row r="48" spans="1:7" x14ac:dyDescent="0.2">
      <c r="A48" s="3">
        <v>44530</v>
      </c>
      <c r="B48" s="1" t="str">
        <f t="shared" si="1"/>
        <v>11-2021</v>
      </c>
      <c r="C48">
        <v>130.31</v>
      </c>
      <c r="D48">
        <f>IFERROR(INDEX('KMB - Dividends '!H:H,MATCH(B48,'KMB - Dividends '!D:D,0)),0)</f>
        <v>0</v>
      </c>
      <c r="E48" s="20">
        <f t="shared" si="2"/>
        <v>6.2926866702478178E-3</v>
      </c>
      <c r="F48" s="20">
        <f>INDEX('10YR Treasury'!E:E,MATCH(B48,'10YR Treasury'!B:B,0))</f>
        <v>1.2035833333333332E-3</v>
      </c>
      <c r="G48" s="17">
        <f t="shared" si="3"/>
        <v>5.0891033369144844E-3</v>
      </c>
    </row>
    <row r="49" spans="1:7" x14ac:dyDescent="0.2">
      <c r="A49" s="3">
        <v>44498</v>
      </c>
      <c r="B49" s="1" t="str">
        <f t="shared" si="1"/>
        <v>10-2021</v>
      </c>
      <c r="C49">
        <v>129.49</v>
      </c>
      <c r="D49">
        <f>IFERROR(INDEX('KMB - Dividends '!H:H,MATCH(B49,'KMB - Dividends '!D:D,0)),0)</f>
        <v>0</v>
      </c>
      <c r="E49" s="20">
        <f t="shared" si="2"/>
        <v>-3.1585450613946825E-2</v>
      </c>
      <c r="F49" s="20">
        <f>INDEX('10YR Treasury'!E:E,MATCH(B49,'10YR Treasury'!B:B,0))</f>
        <v>1.2934166666666667E-3</v>
      </c>
      <c r="G49" s="17">
        <f t="shared" si="3"/>
        <v>-3.287886728061349E-2</v>
      </c>
    </row>
    <row r="50" spans="1:7" x14ac:dyDescent="0.2">
      <c r="A50" s="3">
        <v>44469</v>
      </c>
      <c r="B50" s="1" t="str">
        <f t="shared" si="1"/>
        <v>9-2021</v>
      </c>
      <c r="C50">
        <v>132.44</v>
      </c>
      <c r="D50">
        <f>IFERROR(INDEX('KMB - Dividends '!H:H,MATCH(B50,'KMB - Dividends '!D:D,0)),0)</f>
        <v>1.1399999999999999</v>
      </c>
      <c r="E50" s="20">
        <f t="shared" si="2"/>
        <v>-3.1666417128312759E-2</v>
      </c>
      <c r="F50" s="20">
        <f>INDEX('10YR Treasury'!E:E,MATCH(B50,'10YR Treasury'!B:B,0))</f>
        <v>1.2394166666666667E-3</v>
      </c>
      <c r="G50" s="17">
        <f t="shared" si="3"/>
        <v>-3.2905833794979425E-2</v>
      </c>
    </row>
    <row r="51" spans="1:7" x14ac:dyDescent="0.2">
      <c r="A51" s="3">
        <v>44439</v>
      </c>
      <c r="B51" s="1" t="str">
        <f t="shared" si="1"/>
        <v>8-2021</v>
      </c>
      <c r="C51">
        <v>137.81</v>
      </c>
      <c r="D51">
        <f>IFERROR(INDEX('KMB - Dividends '!H:H,MATCH(B51,'KMB - Dividends '!D:D,0)),0)</f>
        <v>0</v>
      </c>
      <c r="E51" s="20">
        <f t="shared" si="2"/>
        <v>1.5165807996516968E-2</v>
      </c>
      <c r="F51" s="20">
        <f>INDEX('10YR Treasury'!E:E,MATCH(B51,'10YR Treasury'!B:B,0))</f>
        <v>1.0906666666666667E-3</v>
      </c>
      <c r="G51" s="17">
        <f t="shared" si="3"/>
        <v>1.4075141329850301E-2</v>
      </c>
    </row>
    <row r="52" spans="1:7" x14ac:dyDescent="0.2">
      <c r="A52" s="3">
        <v>44407</v>
      </c>
      <c r="B52" s="1" t="str">
        <f t="shared" si="1"/>
        <v>7-2021</v>
      </c>
      <c r="C52">
        <v>135.72</v>
      </c>
      <c r="D52">
        <f>IFERROR(INDEX('KMB - Dividends '!H:H,MATCH(B52,'KMB - Dividends '!D:D,0)),0)</f>
        <v>0</v>
      </c>
      <c r="E52" s="20">
        <f t="shared" si="2"/>
        <v>5.8944886531094266E-3</v>
      </c>
      <c r="F52" s="20">
        <f>INDEX('10YR Treasury'!E:E,MATCH(B52,'10YR Treasury'!B:B,0))</f>
        <v>1.0185833333333334E-3</v>
      </c>
      <c r="G52" s="17">
        <f t="shared" si="3"/>
        <v>4.8759053197760934E-3</v>
      </c>
    </row>
    <row r="53" spans="1:7" x14ac:dyDescent="0.2">
      <c r="A53" s="3">
        <v>44377</v>
      </c>
      <c r="B53" s="1" t="str">
        <f t="shared" si="1"/>
        <v>6-2021</v>
      </c>
      <c r="C53">
        <v>133.78</v>
      </c>
      <c r="D53">
        <f>IFERROR(INDEX('KMB - Dividends '!H:H,MATCH(B53,'KMB - Dividends '!D:D,0)),0)</f>
        <v>1.1399999999999999</v>
      </c>
      <c r="E53" s="20">
        <f t="shared" si="2"/>
        <v>3.1796620219389213E-2</v>
      </c>
      <c r="F53" s="20">
        <f>INDEX('10YR Treasury'!E:E,MATCH(B53,'10YR Treasury'!B:B,0))</f>
        <v>1.2233333333333332E-3</v>
      </c>
      <c r="G53" s="17">
        <f t="shared" si="3"/>
        <v>3.057328688605588E-2</v>
      </c>
    </row>
    <row r="54" spans="1:7" x14ac:dyDescent="0.2">
      <c r="A54" s="3">
        <v>44344</v>
      </c>
      <c r="B54" s="1" t="str">
        <f t="shared" si="1"/>
        <v>5-2021</v>
      </c>
      <c r="C54">
        <v>130.63</v>
      </c>
      <c r="D54">
        <f>IFERROR(INDEX('KMB - Dividends '!H:H,MATCH(B54,'KMB - Dividends '!D:D,0)),0)</f>
        <v>0</v>
      </c>
      <c r="E54" s="20">
        <f t="shared" si="2"/>
        <v>-2.0592513205236147E-2</v>
      </c>
      <c r="F54" s="20">
        <f>INDEX('10YR Treasury'!E:E,MATCH(B54,'10YR Treasury'!B:B,0))</f>
        <v>1.3285833333333333E-3</v>
      </c>
      <c r="G54" s="17">
        <f t="shared" si="3"/>
        <v>-2.1921096538569482E-2</v>
      </c>
    </row>
    <row r="55" spans="1:7" x14ac:dyDescent="0.2">
      <c r="A55" s="3">
        <v>44316</v>
      </c>
      <c r="B55" s="1" t="str">
        <f t="shared" si="1"/>
        <v>4-2021</v>
      </c>
      <c r="C55">
        <v>133.32</v>
      </c>
      <c r="D55">
        <f>IFERROR(INDEX('KMB - Dividends '!H:H,MATCH(B55,'KMB - Dividends '!D:D,0)),0)</f>
        <v>0</v>
      </c>
      <c r="E55" s="20">
        <f t="shared" si="2"/>
        <v>-5.1530153015301568E-2</v>
      </c>
      <c r="F55" s="20">
        <f>INDEX('10YR Treasury'!E:E,MATCH(B55,'10YR Treasury'!B:B,0))</f>
        <v>1.3549166666666666E-3</v>
      </c>
      <c r="G55" s="17">
        <f t="shared" si="3"/>
        <v>-5.2885069681968232E-2</v>
      </c>
    </row>
    <row r="56" spans="1:7" x14ac:dyDescent="0.2">
      <c r="A56" s="3">
        <v>44286</v>
      </c>
      <c r="B56" s="1" t="str">
        <f t="shared" si="1"/>
        <v>3-2021</v>
      </c>
      <c r="C56">
        <v>139.05000000000001</v>
      </c>
      <c r="D56">
        <f>IFERROR(INDEX('KMB - Dividends '!H:H,MATCH(B56,'KMB - Dividends '!D:D,0)),0)</f>
        <v>1.1399999999999999</v>
      </c>
      <c r="E56" s="20">
        <f t="shared" si="2"/>
        <v>8.4599472144946036E-2</v>
      </c>
      <c r="F56" s="20">
        <f>INDEX('10YR Treasury'!E:E,MATCH(B56,'10YR Treasury'!B:B,0))</f>
        <v>1.4503333333333332E-3</v>
      </c>
      <c r="G56" s="17">
        <f t="shared" si="3"/>
        <v>8.3149138811612705E-2</v>
      </c>
    </row>
    <row r="57" spans="1:7" x14ac:dyDescent="0.2">
      <c r="A57" s="3">
        <v>44253</v>
      </c>
      <c r="B57" s="1" t="str">
        <f t="shared" si="1"/>
        <v>2-2021</v>
      </c>
      <c r="C57">
        <v>128.33000000000001</v>
      </c>
      <c r="D57">
        <f>IFERROR(INDEX('KMB - Dividends '!H:H,MATCH(B57,'KMB - Dividends '!D:D,0)),0)</f>
        <v>0</v>
      </c>
      <c r="E57" s="20">
        <f t="shared" si="2"/>
        <v>-2.93773864256213E-2</v>
      </c>
      <c r="F57" s="20">
        <f>INDEX('10YR Treasury'!E:E,MATCH(B57,'10YR Treasury'!B:B,0))</f>
        <v>1.1707500000000001E-3</v>
      </c>
      <c r="G57" s="17">
        <f t="shared" si="3"/>
        <v>-3.0548136425621302E-2</v>
      </c>
    </row>
    <row r="58" spans="1:7" x14ac:dyDescent="0.2">
      <c r="A58" s="3">
        <v>44225</v>
      </c>
      <c r="B58" s="1" t="str">
        <f t="shared" si="1"/>
        <v>1-2021</v>
      </c>
      <c r="C58">
        <v>132.1</v>
      </c>
      <c r="D58">
        <f>IFERROR(INDEX('KMB - Dividends '!H:H,MATCH(B58,'KMB - Dividends '!D:D,0)),0)</f>
        <v>0</v>
      </c>
      <c r="E58" s="20">
        <f t="shared" si="2"/>
        <v>-2.8766086298258983E-2</v>
      </c>
      <c r="F58" s="20">
        <f>INDEX('10YR Treasury'!E:E,MATCH(B58,'10YR Treasury'!B:B,0))</f>
        <v>8.8791666666666663E-4</v>
      </c>
      <c r="G58" s="17">
        <f t="shared" si="3"/>
        <v>-2.9654002964925649E-2</v>
      </c>
    </row>
    <row r="59" spans="1:7" x14ac:dyDescent="0.2">
      <c r="A59" s="3">
        <v>44196</v>
      </c>
      <c r="B59" s="1" t="str">
        <f t="shared" si="1"/>
        <v>12-2020</v>
      </c>
      <c r="C59">
        <v>134.83000000000001</v>
      </c>
      <c r="D59">
        <f>IFERROR(INDEX('KMB - Dividends '!H:H,MATCH(B59,'KMB - Dividends '!D:D,0)),0)</f>
        <v>1.07</v>
      </c>
      <c r="E59" s="20">
        <f t="shared" si="2"/>
        <v>-2.5091979396615133E-2</v>
      </c>
      <c r="F59" s="20">
        <f>INDEX('10YR Treasury'!E:E,MATCH(B59,'10YR Treasury'!B:B,0))</f>
        <v>7.6099999999999996E-4</v>
      </c>
      <c r="G59" s="17">
        <f t="shared" si="3"/>
        <v>-2.5852979396615135E-2</v>
      </c>
    </row>
    <row r="60" spans="1:7" x14ac:dyDescent="0.2">
      <c r="A60" s="3">
        <v>44165</v>
      </c>
      <c r="B60" s="1" t="str">
        <f t="shared" si="1"/>
        <v>11-2020</v>
      </c>
      <c r="C60">
        <v>139.31</v>
      </c>
      <c r="D60">
        <f>IFERROR(INDEX('KMB - Dividends '!H:H,MATCH(B60,'KMB - Dividends '!D:D,0)),0)</f>
        <v>0</v>
      </c>
      <c r="E60" s="20">
        <f t="shared" si="2"/>
        <v>4.8237743162730592E-2</v>
      </c>
      <c r="F60" s="20">
        <f>INDEX('10YR Treasury'!E:E,MATCH(B60,'10YR Treasury'!B:B,0))</f>
        <v>6.9908333333333335E-4</v>
      </c>
      <c r="G60" s="17">
        <f t="shared" si="3"/>
        <v>4.7538659829397256E-2</v>
      </c>
    </row>
    <row r="61" spans="1:7" x14ac:dyDescent="0.2">
      <c r="A61" s="3">
        <v>44134</v>
      </c>
      <c r="B61" s="1" t="str">
        <f t="shared" si="1"/>
        <v>10-2020</v>
      </c>
      <c r="C61">
        <v>132.59</v>
      </c>
      <c r="D61">
        <f>IFERROR(INDEX('KMB - Dividends '!H:H,MATCH(B61,'KMB - Dividends '!D:D,0)),0)</f>
        <v>0</v>
      </c>
      <c r="E61" s="20">
        <f t="shared" si="2"/>
        <v>-0.12172863715212298</v>
      </c>
      <c r="F61" s="20">
        <f>INDEX('10YR Treasury'!E:E,MATCH(B61,'10YR Treasury'!B:B,0))</f>
        <v>7.280833333333334E-4</v>
      </c>
      <c r="G61" s="17">
        <f t="shared" si="3"/>
        <v>-0.12245672048545632</v>
      </c>
    </row>
    <row r="62" spans="1:7" x14ac:dyDescent="0.2">
      <c r="A62" s="3">
        <v>44104</v>
      </c>
      <c r="B62" s="1" t="str">
        <f t="shared" si="1"/>
        <v>9-2020</v>
      </c>
      <c r="C62">
        <v>147.66</v>
      </c>
      <c r="D62">
        <f>IFERROR(INDEX('KMB - Dividends '!H:H,MATCH(B62,'KMB - Dividends '!D:D,0)),0)</f>
        <v>1.07</v>
      </c>
      <c r="E62" s="20">
        <f t="shared" si="2"/>
        <v>-6.0714045585961149E-2</v>
      </c>
      <c r="F62" s="20">
        <f>INDEX('10YR Treasury'!E:E,MATCH(B62,'10YR Treasury'!B:B,0))</f>
        <v>5.7000000000000009E-4</v>
      </c>
      <c r="G62" s="17">
        <f t="shared" si="3"/>
        <v>-6.128404558596115E-2</v>
      </c>
    </row>
    <row r="63" spans="1:7" x14ac:dyDescent="0.2">
      <c r="A63" s="3">
        <v>44074</v>
      </c>
      <c r="B63" s="1" t="str">
        <f t="shared" si="1"/>
        <v>8-2020</v>
      </c>
      <c r="C63">
        <v>157.76</v>
      </c>
      <c r="D63">
        <f>IFERROR(INDEX('KMB - Dividends '!H:H,MATCH(B63,'KMB - Dividends '!D:D,0)),0)</f>
        <v>0</v>
      </c>
      <c r="E63" s="20">
        <f t="shared" si="2"/>
        <v>3.6257606490872209E-2</v>
      </c>
      <c r="F63" s="20">
        <f>INDEX('10YR Treasury'!E:E,MATCH(B63,'10YR Treasury'!B:B,0))</f>
        <v>5.8733333333333337E-4</v>
      </c>
      <c r="G63" s="17">
        <f t="shared" si="3"/>
        <v>3.5670273157538873E-2</v>
      </c>
    </row>
    <row r="64" spans="1:7" x14ac:dyDescent="0.2">
      <c r="A64" s="3">
        <v>44043</v>
      </c>
      <c r="B64" s="1" t="str">
        <f t="shared" si="1"/>
        <v>7-2020</v>
      </c>
      <c r="C64">
        <v>152.04</v>
      </c>
      <c r="D64">
        <f>IFERROR(INDEX('KMB - Dividends '!H:H,MATCH(B64,'KMB - Dividends '!D:D,0)),0)</f>
        <v>0</v>
      </c>
      <c r="E64" s="20">
        <f t="shared" si="2"/>
        <v>6.3272822941331255E-2</v>
      </c>
      <c r="F64" s="20">
        <f>INDEX('10YR Treasury'!E:E,MATCH(B64,'10YR Treasury'!B:B,0))</f>
        <v>4.4016666666666667E-4</v>
      </c>
      <c r="G64" s="17">
        <f t="shared" si="3"/>
        <v>6.2832656274664583E-2</v>
      </c>
    </row>
    <row r="65" spans="1:7" x14ac:dyDescent="0.2">
      <c r="A65" s="3">
        <v>44012</v>
      </c>
      <c r="B65" s="1" t="str">
        <f t="shared" si="1"/>
        <v>6-2020</v>
      </c>
      <c r="C65">
        <v>141.35</v>
      </c>
      <c r="D65">
        <f>IFERROR(INDEX('KMB - Dividends '!H:H,MATCH(B65,'KMB - Dividends '!D:D,0)),0)</f>
        <v>1.07</v>
      </c>
      <c r="E65" s="20">
        <f t="shared" si="2"/>
        <v>6.8810560314561849E-3</v>
      </c>
      <c r="F65" s="20">
        <f>INDEX('10YR Treasury'!E:E,MATCH(B65,'10YR Treasury'!B:B,0))</f>
        <v>5.4675000000000004E-4</v>
      </c>
      <c r="G65" s="17">
        <f t="shared" si="3"/>
        <v>6.3343060314561845E-3</v>
      </c>
    </row>
    <row r="66" spans="1:7" x14ac:dyDescent="0.2">
      <c r="A66" s="3">
        <v>43980</v>
      </c>
      <c r="B66" s="1" t="str">
        <f t="shared" si="1"/>
        <v>5-2020</v>
      </c>
      <c r="C66">
        <v>141.44</v>
      </c>
      <c r="D66">
        <f>IFERROR(INDEX('KMB - Dividends '!H:H,MATCH(B66,'KMB - Dividends '!D:D,0)),0)</f>
        <v>0</v>
      </c>
      <c r="E66" s="20">
        <f t="shared" si="2"/>
        <v>2.0927601809954809E-2</v>
      </c>
      <c r="F66" s="20">
        <f>INDEX('10YR Treasury'!E:E,MATCH(B66,'10YR Treasury'!B:B,0))</f>
        <v>5.4383333333333334E-4</v>
      </c>
      <c r="G66" s="17">
        <f t="shared" si="3"/>
        <v>2.0383768476621475E-2</v>
      </c>
    </row>
    <row r="67" spans="1:7" x14ac:dyDescent="0.2">
      <c r="A67" s="3">
        <v>43951</v>
      </c>
      <c r="B67" s="1" t="str">
        <f t="shared" si="1"/>
        <v>4-2020</v>
      </c>
      <c r="C67">
        <v>138.47999999999999</v>
      </c>
      <c r="D67">
        <f>IFERROR(INDEX('KMB - Dividends '!H:H,MATCH(B67,'KMB - Dividends '!D:D,0)),0)</f>
        <v>0</v>
      </c>
      <c r="E67" s="20">
        <f t="shared" si="2"/>
        <v>6.8890814558058872E-2</v>
      </c>
      <c r="F67" s="20">
        <f>INDEX('10YR Treasury'!E:E,MATCH(B67,'10YR Treasury'!B:B,0))</f>
        <v>5.3275000000000002E-4</v>
      </c>
      <c r="G67" s="17">
        <f t="shared" si="3"/>
        <v>6.8358064558058873E-2</v>
      </c>
    </row>
    <row r="68" spans="1:7" x14ac:dyDescent="0.2">
      <c r="A68" s="3">
        <v>43921</v>
      </c>
      <c r="B68" s="1" t="str">
        <f t="shared" si="1"/>
        <v>3-2020</v>
      </c>
      <c r="C68">
        <v>127.87</v>
      </c>
      <c r="D68">
        <f>IFERROR(INDEX('KMB - Dividends '!H:H,MATCH(B68,'KMB - Dividends '!D:D,0)),0)</f>
        <v>1.07</v>
      </c>
      <c r="E68" s="8"/>
      <c r="F68" s="20">
        <f>INDEX('10YR Treasury'!E:E,MATCH(B68,'10YR Treasury'!B:B,0))</f>
        <v>5.5791666666666663E-4</v>
      </c>
      <c r="G68" s="38"/>
    </row>
    <row r="69" spans="1:7" x14ac:dyDescent="0.2">
      <c r="B69" s="33" t="s">
        <v>38</v>
      </c>
      <c r="C69" s="34">
        <f>AVERAGE(C9:C68)</f>
        <v>133.55183333333332</v>
      </c>
      <c r="D69" s="34"/>
      <c r="E69" s="35">
        <f>AVERAGE(E9:E68)</f>
        <v>1.5771708575607047E-4</v>
      </c>
      <c r="F69" s="20">
        <f>INDEX('10YR Treasury'!E:E,MATCH(B69,'10YR Treasury'!B:B,0))</f>
        <v>2.3233373655913961E-3</v>
      </c>
      <c r="G69" s="36">
        <f t="shared" ref="G69" si="4">AVERAGE(G9:G68)</f>
        <v>-2.1986798068992968E-3</v>
      </c>
    </row>
    <row r="70" spans="1:7" x14ac:dyDescent="0.2">
      <c r="B70" t="s">
        <v>15</v>
      </c>
      <c r="C70" s="5">
        <f>STDEV(C9:C68)</f>
        <v>8.0765466046137036</v>
      </c>
      <c r="D70" s="5"/>
      <c r="E70" s="32">
        <f>STDEV(E9:E68)</f>
        <v>5.4719158509297497E-2</v>
      </c>
      <c r="F70" s="20" t="e">
        <f>INDEX('10YR Treasury'!E:E,MATCH(B70,'10YR Treasury'!B:B,0))</f>
        <v>#N/A</v>
      </c>
      <c r="G70" s="37">
        <f t="shared" ref="G70" si="5">STDEV(G9:G68)</f>
        <v>5.4733303897358088E-2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807E-2AB0-41B1-9DAF-C704E9EA3CF9}">
  <sheetPr>
    <tabColor theme="9" tint="0.79998168889431442"/>
  </sheetPr>
  <dimension ref="A1:J24"/>
  <sheetViews>
    <sheetView workbookViewId="0">
      <selection activeCell="H3" sqref="H3"/>
    </sheetView>
  </sheetViews>
  <sheetFormatPr baseColWidth="10" defaultColWidth="8.83203125" defaultRowHeight="15" x14ac:dyDescent="0.2"/>
  <cols>
    <col min="1" max="1" width="3.6640625" bestFit="1" customWidth="1"/>
    <col min="2" max="2" width="11.1640625" bestFit="1" customWidth="1"/>
    <col min="3" max="3" width="9.6640625" bestFit="1" customWidth="1"/>
    <col min="4" max="5" width="10.6640625" bestFit="1" customWidth="1"/>
    <col min="6" max="6" width="9.6640625" bestFit="1" customWidth="1"/>
    <col min="7" max="7" width="4.6640625" bestFit="1" customWidth="1"/>
    <col min="8" max="8" width="8.1640625" bestFit="1" customWidth="1"/>
    <col min="9" max="9" width="15.6640625" bestFit="1" customWidth="1"/>
    <col min="10" max="10" width="14.1640625" bestFit="1" customWidth="1"/>
  </cols>
  <sheetData>
    <row r="1" spans="1:10" x14ac:dyDescent="0.2">
      <c r="B1" t="s">
        <v>71</v>
      </c>
      <c r="C1" t="s">
        <v>43</v>
      </c>
      <c r="D1" s="23" t="s">
        <v>34</v>
      </c>
      <c r="E1" t="s">
        <v>72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">
      <c r="B2" s="3"/>
      <c r="C2" s="3"/>
    </row>
    <row r="3" spans="1:10" x14ac:dyDescent="0.2">
      <c r="A3" t="s">
        <v>50</v>
      </c>
      <c r="B3" s="3">
        <v>45685</v>
      </c>
      <c r="C3" s="3">
        <v>45723</v>
      </c>
      <c r="D3" s="1" t="str">
        <f t="shared" ref="D3:D23" si="0">_xlfn.CONCAT(MONTH(C3),"-",YEAR(C3))</f>
        <v>3-2025</v>
      </c>
      <c r="E3" s="3">
        <v>45723</v>
      </c>
      <c r="F3" s="3">
        <v>45749</v>
      </c>
      <c r="G3" t="s">
        <v>32</v>
      </c>
      <c r="H3">
        <v>1.26</v>
      </c>
      <c r="I3" t="s">
        <v>51</v>
      </c>
      <c r="J3">
        <f>INDEX('KMB - Stock PX'!C:C,MATCH(D3,'KMB - Stock PX'!B:B,0))</f>
        <v>142.22</v>
      </c>
    </row>
    <row r="4" spans="1:10" x14ac:dyDescent="0.2">
      <c r="A4" t="s">
        <v>52</v>
      </c>
      <c r="B4" s="3">
        <v>45609</v>
      </c>
      <c r="C4" s="3">
        <v>45632</v>
      </c>
      <c r="D4" s="1" t="str">
        <f t="shared" si="0"/>
        <v>12-2024</v>
      </c>
      <c r="E4" s="3">
        <v>45632</v>
      </c>
      <c r="F4" s="3">
        <v>45660</v>
      </c>
      <c r="G4" t="s">
        <v>32</v>
      </c>
      <c r="H4">
        <v>1.22</v>
      </c>
      <c r="I4" t="s">
        <v>51</v>
      </c>
      <c r="J4">
        <f>INDEX('KMB - Stock PX'!C:C,MATCH(D4,'KMB - Stock PX'!B:B,0))</f>
        <v>131.04</v>
      </c>
    </row>
    <row r="5" spans="1:10" x14ac:dyDescent="0.2">
      <c r="A5" t="s">
        <v>53</v>
      </c>
      <c r="B5" s="3">
        <v>45505</v>
      </c>
      <c r="C5" s="3">
        <v>45541</v>
      </c>
      <c r="D5" s="1" t="str">
        <f t="shared" si="0"/>
        <v>9-2024</v>
      </c>
      <c r="E5" s="3">
        <v>45541</v>
      </c>
      <c r="F5" s="3">
        <v>45567</v>
      </c>
      <c r="G5" t="s">
        <v>32</v>
      </c>
      <c r="H5">
        <v>1.22</v>
      </c>
      <c r="I5" t="s">
        <v>51</v>
      </c>
      <c r="J5">
        <f>INDEX('KMB - Stock PX'!C:C,MATCH(D5,'KMB - Stock PX'!B:B,0))</f>
        <v>142.28</v>
      </c>
    </row>
    <row r="6" spans="1:10" x14ac:dyDescent="0.2">
      <c r="A6" t="s">
        <v>54</v>
      </c>
      <c r="B6" s="3">
        <v>45414</v>
      </c>
      <c r="C6" s="3">
        <v>45450</v>
      </c>
      <c r="D6" s="1" t="str">
        <f t="shared" si="0"/>
        <v>6-2024</v>
      </c>
      <c r="E6" s="3">
        <v>45450</v>
      </c>
      <c r="F6" s="3">
        <v>45475</v>
      </c>
      <c r="G6" t="s">
        <v>32</v>
      </c>
      <c r="H6">
        <v>1.22</v>
      </c>
      <c r="I6" t="s">
        <v>51</v>
      </c>
      <c r="J6">
        <f>INDEX('KMB - Stock PX'!C:C,MATCH(D6,'KMB - Stock PX'!B:B,0))</f>
        <v>138.19999999999999</v>
      </c>
    </row>
    <row r="7" spans="1:10" x14ac:dyDescent="0.2">
      <c r="A7" t="s">
        <v>55</v>
      </c>
      <c r="B7" s="3">
        <v>45315</v>
      </c>
      <c r="C7" s="3">
        <v>45358</v>
      </c>
      <c r="D7" s="1" t="str">
        <f t="shared" si="0"/>
        <v>3-2024</v>
      </c>
      <c r="E7" s="3">
        <v>45359</v>
      </c>
      <c r="F7" s="3">
        <v>45384</v>
      </c>
      <c r="G7" t="s">
        <v>32</v>
      </c>
      <c r="H7">
        <v>1.22</v>
      </c>
      <c r="I7" t="s">
        <v>51</v>
      </c>
      <c r="J7">
        <f>INDEX('KMB - Stock PX'!C:C,MATCH(D7,'KMB - Stock PX'!B:B,0))</f>
        <v>129.35</v>
      </c>
    </row>
    <row r="8" spans="1:10" x14ac:dyDescent="0.2">
      <c r="A8" t="s">
        <v>56</v>
      </c>
      <c r="B8" s="3">
        <v>45246</v>
      </c>
      <c r="C8" s="3">
        <v>45267</v>
      </c>
      <c r="D8" s="1" t="str">
        <f t="shared" si="0"/>
        <v>12-2023</v>
      </c>
      <c r="E8" s="3">
        <v>45268</v>
      </c>
      <c r="F8" s="3">
        <v>45294</v>
      </c>
      <c r="G8" t="s">
        <v>32</v>
      </c>
      <c r="H8">
        <v>1.18</v>
      </c>
      <c r="I8" t="s">
        <v>51</v>
      </c>
      <c r="J8">
        <f>INDEX('KMB - Stock PX'!C:C,MATCH(D8,'KMB - Stock PX'!B:B,0))</f>
        <v>121.51</v>
      </c>
    </row>
    <row r="9" spans="1:10" x14ac:dyDescent="0.2">
      <c r="A9" t="s">
        <v>57</v>
      </c>
      <c r="B9" s="3">
        <v>45139</v>
      </c>
      <c r="C9" s="3">
        <v>45176</v>
      </c>
      <c r="D9" s="1" t="str">
        <f t="shared" si="0"/>
        <v>9-2023</v>
      </c>
      <c r="E9" s="3">
        <v>45177</v>
      </c>
      <c r="F9" s="3">
        <v>45202</v>
      </c>
      <c r="G9" t="s">
        <v>32</v>
      </c>
      <c r="H9">
        <v>1.18</v>
      </c>
      <c r="I9" t="s">
        <v>51</v>
      </c>
      <c r="J9">
        <f>INDEX('KMB - Stock PX'!C:C,MATCH(D9,'KMB - Stock PX'!B:B,0))</f>
        <v>120.85</v>
      </c>
    </row>
    <row r="10" spans="1:10" x14ac:dyDescent="0.2">
      <c r="A10" t="s">
        <v>58</v>
      </c>
      <c r="B10" s="3">
        <v>45036</v>
      </c>
      <c r="C10" s="3">
        <v>45085</v>
      </c>
      <c r="D10" s="1" t="str">
        <f t="shared" si="0"/>
        <v>6-2023</v>
      </c>
      <c r="E10" s="3">
        <v>45086</v>
      </c>
      <c r="F10" s="3">
        <v>45112</v>
      </c>
      <c r="G10" t="s">
        <v>32</v>
      </c>
      <c r="H10">
        <v>1.18</v>
      </c>
      <c r="I10" t="s">
        <v>51</v>
      </c>
      <c r="J10">
        <f>INDEX('KMB - Stock PX'!C:C,MATCH(D10,'KMB - Stock PX'!B:B,0))</f>
        <v>138.06</v>
      </c>
    </row>
    <row r="11" spans="1:10" x14ac:dyDescent="0.2">
      <c r="A11" t="s">
        <v>59</v>
      </c>
      <c r="B11" s="3">
        <v>44951</v>
      </c>
      <c r="C11" s="3">
        <v>44994</v>
      </c>
      <c r="D11" s="1" t="str">
        <f t="shared" si="0"/>
        <v>3-2023</v>
      </c>
      <c r="E11" s="3">
        <v>44995</v>
      </c>
      <c r="F11" s="3">
        <v>45020</v>
      </c>
      <c r="G11" t="s">
        <v>32</v>
      </c>
      <c r="H11">
        <v>1.18</v>
      </c>
      <c r="I11" t="s">
        <v>51</v>
      </c>
      <c r="J11">
        <f>INDEX('KMB - Stock PX'!C:C,MATCH(D11,'KMB - Stock PX'!B:B,0))</f>
        <v>134.22</v>
      </c>
    </row>
    <row r="12" spans="1:10" x14ac:dyDescent="0.2">
      <c r="A12" t="s">
        <v>60</v>
      </c>
      <c r="B12" s="3">
        <v>44882</v>
      </c>
      <c r="C12" s="3">
        <v>44903</v>
      </c>
      <c r="D12" s="1" t="str">
        <f t="shared" si="0"/>
        <v>12-2022</v>
      </c>
      <c r="E12" s="3">
        <v>44904</v>
      </c>
      <c r="F12" s="3">
        <v>44930</v>
      </c>
      <c r="G12" t="s">
        <v>32</v>
      </c>
      <c r="H12">
        <v>1.1599999999999999</v>
      </c>
      <c r="I12" t="s">
        <v>51</v>
      </c>
      <c r="J12">
        <f>INDEX('KMB - Stock PX'!C:C,MATCH(D12,'KMB - Stock PX'!B:B,0))</f>
        <v>135.75</v>
      </c>
    </row>
    <row r="13" spans="1:10" x14ac:dyDescent="0.2">
      <c r="A13" t="s">
        <v>61</v>
      </c>
      <c r="B13" s="3">
        <v>44774</v>
      </c>
      <c r="C13" s="3">
        <v>44812</v>
      </c>
      <c r="D13" s="1" t="str">
        <f t="shared" si="0"/>
        <v>9-2022</v>
      </c>
      <c r="E13" s="3">
        <v>44813</v>
      </c>
      <c r="F13" s="3">
        <v>44838</v>
      </c>
      <c r="G13" t="s">
        <v>32</v>
      </c>
      <c r="H13">
        <v>1.1599999999999999</v>
      </c>
      <c r="I13" t="s">
        <v>51</v>
      </c>
      <c r="J13">
        <f>INDEX('KMB - Stock PX'!C:C,MATCH(D13,'KMB - Stock PX'!B:B,0))</f>
        <v>112.54</v>
      </c>
    </row>
    <row r="14" spans="1:10" x14ac:dyDescent="0.2">
      <c r="A14" t="s">
        <v>62</v>
      </c>
      <c r="B14" s="3">
        <v>44678</v>
      </c>
      <c r="C14" s="3">
        <v>44721</v>
      </c>
      <c r="D14" s="1" t="str">
        <f t="shared" si="0"/>
        <v>6-2022</v>
      </c>
      <c r="E14" s="3">
        <v>44722</v>
      </c>
      <c r="F14" s="3">
        <v>44747</v>
      </c>
      <c r="G14" t="s">
        <v>32</v>
      </c>
      <c r="H14">
        <v>1.1599999999999999</v>
      </c>
      <c r="I14" t="s">
        <v>51</v>
      </c>
      <c r="J14">
        <f>INDEX('KMB - Stock PX'!C:C,MATCH(D14,'KMB - Stock PX'!B:B,0))</f>
        <v>135.15</v>
      </c>
    </row>
    <row r="15" spans="1:10" x14ac:dyDescent="0.2">
      <c r="A15" t="s">
        <v>63</v>
      </c>
      <c r="B15" s="3">
        <v>44587</v>
      </c>
      <c r="C15" s="3">
        <v>44623</v>
      </c>
      <c r="D15" s="1" t="str">
        <f t="shared" si="0"/>
        <v>3-2022</v>
      </c>
      <c r="E15" s="3">
        <v>44624</v>
      </c>
      <c r="F15" s="3">
        <v>44655</v>
      </c>
      <c r="G15" t="s">
        <v>32</v>
      </c>
      <c r="H15">
        <v>1.1599999999999999</v>
      </c>
      <c r="I15" t="s">
        <v>51</v>
      </c>
      <c r="J15">
        <f>INDEX('KMB - Stock PX'!C:C,MATCH(D15,'KMB - Stock PX'!B:B,0))</f>
        <v>123.16</v>
      </c>
    </row>
    <row r="16" spans="1:10" x14ac:dyDescent="0.2">
      <c r="A16" t="s">
        <v>64</v>
      </c>
      <c r="B16" s="3">
        <v>44518</v>
      </c>
      <c r="C16" s="3">
        <v>44539</v>
      </c>
      <c r="D16" s="1" t="str">
        <f t="shared" si="0"/>
        <v>12-2021</v>
      </c>
      <c r="E16" s="3">
        <v>44540</v>
      </c>
      <c r="F16" s="3">
        <v>44565</v>
      </c>
      <c r="G16" t="s">
        <v>32</v>
      </c>
      <c r="H16">
        <v>1.1399999999999999</v>
      </c>
      <c r="I16" t="s">
        <v>51</v>
      </c>
      <c r="J16">
        <f>INDEX('KMB - Stock PX'!C:C,MATCH(D16,'KMB - Stock PX'!B:B,0))</f>
        <v>142.91999999999999</v>
      </c>
    </row>
    <row r="17" spans="1:10" x14ac:dyDescent="0.2">
      <c r="A17" t="s">
        <v>65</v>
      </c>
      <c r="B17" s="3">
        <v>44410</v>
      </c>
      <c r="C17" s="3">
        <v>44448</v>
      </c>
      <c r="D17" s="1" t="str">
        <f t="shared" si="0"/>
        <v>9-2021</v>
      </c>
      <c r="E17" s="3">
        <v>44449</v>
      </c>
      <c r="F17" s="3">
        <v>44473</v>
      </c>
      <c r="G17" t="s">
        <v>32</v>
      </c>
      <c r="H17">
        <v>1.1399999999999999</v>
      </c>
      <c r="I17" t="s">
        <v>51</v>
      </c>
      <c r="J17">
        <f>INDEX('KMB - Stock PX'!C:C,MATCH(D17,'KMB - Stock PX'!B:B,0))</f>
        <v>132.44</v>
      </c>
    </row>
    <row r="18" spans="1:10" x14ac:dyDescent="0.2">
      <c r="A18" t="s">
        <v>66</v>
      </c>
      <c r="B18" s="3">
        <v>44315</v>
      </c>
      <c r="C18" s="3">
        <v>44350</v>
      </c>
      <c r="D18" s="1" t="str">
        <f t="shared" si="0"/>
        <v>6-2021</v>
      </c>
      <c r="E18" s="3">
        <v>44351</v>
      </c>
      <c r="F18" s="3">
        <v>44379</v>
      </c>
      <c r="G18" t="s">
        <v>32</v>
      </c>
      <c r="H18">
        <v>1.1399999999999999</v>
      </c>
      <c r="I18" t="s">
        <v>51</v>
      </c>
      <c r="J18">
        <f>INDEX('KMB - Stock PX'!C:C,MATCH(D18,'KMB - Stock PX'!B:B,0))</f>
        <v>133.78</v>
      </c>
    </row>
    <row r="19" spans="1:10" x14ac:dyDescent="0.2">
      <c r="A19" t="s">
        <v>67</v>
      </c>
      <c r="B19" s="3">
        <v>44221</v>
      </c>
      <c r="C19" s="3">
        <v>44259</v>
      </c>
      <c r="D19" s="1" t="str">
        <f t="shared" si="0"/>
        <v>3-2021</v>
      </c>
      <c r="E19" s="3">
        <v>44260</v>
      </c>
      <c r="F19" s="3">
        <v>44291</v>
      </c>
      <c r="G19" t="s">
        <v>32</v>
      </c>
      <c r="H19">
        <v>1.1399999999999999</v>
      </c>
      <c r="I19" t="s">
        <v>51</v>
      </c>
      <c r="J19">
        <f>INDEX('KMB - Stock PX'!C:C,MATCH(D19,'KMB - Stock PX'!B:B,0))</f>
        <v>139.05000000000001</v>
      </c>
    </row>
    <row r="20" spans="1:10" x14ac:dyDescent="0.2">
      <c r="A20" t="s">
        <v>68</v>
      </c>
      <c r="B20" s="3">
        <v>44154</v>
      </c>
      <c r="C20" s="3">
        <v>44168</v>
      </c>
      <c r="D20" s="1" t="str">
        <f t="shared" si="0"/>
        <v>12-2020</v>
      </c>
      <c r="E20" s="3">
        <v>44169</v>
      </c>
      <c r="F20" s="3">
        <v>44201</v>
      </c>
      <c r="G20" t="s">
        <v>32</v>
      </c>
      <c r="H20">
        <v>1.07</v>
      </c>
      <c r="I20" t="s">
        <v>51</v>
      </c>
      <c r="J20">
        <f>INDEX('KMB - Stock PX'!C:C,MATCH(D20,'KMB - Stock PX'!B:B,0))</f>
        <v>134.83000000000001</v>
      </c>
    </row>
    <row r="21" spans="1:10" x14ac:dyDescent="0.2">
      <c r="A21" t="s">
        <v>73</v>
      </c>
      <c r="B21" s="3">
        <v>44046</v>
      </c>
      <c r="C21" s="3">
        <v>44077</v>
      </c>
      <c r="D21" s="1" t="str">
        <f t="shared" si="0"/>
        <v>9-2020</v>
      </c>
      <c r="E21" s="3">
        <v>44078</v>
      </c>
      <c r="F21" s="3">
        <v>44106</v>
      </c>
      <c r="G21" t="s">
        <v>32</v>
      </c>
      <c r="H21">
        <v>1.07</v>
      </c>
      <c r="I21" t="s">
        <v>51</v>
      </c>
      <c r="J21">
        <f>INDEX('KMB - Stock PX'!C:C,MATCH(D21,'KMB - Stock PX'!B:B,0))</f>
        <v>147.66</v>
      </c>
    </row>
    <row r="22" spans="1:10" x14ac:dyDescent="0.2">
      <c r="A22" t="s">
        <v>74</v>
      </c>
      <c r="B22" s="3">
        <v>43950</v>
      </c>
      <c r="C22" s="3">
        <v>43986</v>
      </c>
      <c r="D22" s="1" t="str">
        <f t="shared" si="0"/>
        <v>6-2020</v>
      </c>
      <c r="E22" s="3">
        <v>43987</v>
      </c>
      <c r="F22" s="3">
        <v>44014</v>
      </c>
      <c r="G22" t="s">
        <v>32</v>
      </c>
      <c r="H22">
        <v>1.07</v>
      </c>
      <c r="I22" t="s">
        <v>51</v>
      </c>
      <c r="J22">
        <f>INDEX('KMB - Stock PX'!C:C,MATCH(D22,'KMB - Stock PX'!B:B,0))</f>
        <v>141.35</v>
      </c>
    </row>
    <row r="23" spans="1:10" x14ac:dyDescent="0.2">
      <c r="A23" t="s">
        <v>75</v>
      </c>
      <c r="B23" s="3">
        <v>43853</v>
      </c>
      <c r="C23" s="3">
        <v>43895</v>
      </c>
      <c r="D23" s="1" t="str">
        <f t="shared" si="0"/>
        <v>3-2020</v>
      </c>
      <c r="E23" s="3">
        <v>43896</v>
      </c>
      <c r="F23" s="3">
        <v>43923</v>
      </c>
      <c r="G23" t="s">
        <v>32</v>
      </c>
      <c r="H23">
        <v>1.07</v>
      </c>
      <c r="I23" t="s">
        <v>51</v>
      </c>
      <c r="J23">
        <f>INDEX('KMB - Stock PX'!C:C,MATCH(D23,'KMB - Stock PX'!B:B,0))</f>
        <v>127.87</v>
      </c>
    </row>
    <row r="24" spans="1:10" x14ac:dyDescent="0.2">
      <c r="H24">
        <f>AVERAGE(H3:H23)</f>
        <v>1.1590476190476191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1383-C4B7-4CB4-AA1E-6B3344C74FF2}">
  <sheetPr>
    <tabColor theme="6" tint="0.79998168889431442"/>
  </sheetPr>
  <dimension ref="A1:G80"/>
  <sheetViews>
    <sheetView workbookViewId="0">
      <selection activeCell="H71" sqref="H71"/>
    </sheetView>
  </sheetViews>
  <sheetFormatPr baseColWidth="10" defaultColWidth="8.83203125" defaultRowHeight="15" x14ac:dyDescent="0.2"/>
  <cols>
    <col min="1" max="1" width="8.6640625" bestFit="1" customWidth="1"/>
    <col min="2" max="2" width="10.83203125" bestFit="1" customWidth="1"/>
    <col min="3" max="3" width="7.6640625" bestFit="1" customWidth="1"/>
    <col min="4" max="4" width="8.83203125" bestFit="1" customWidth="1"/>
    <col min="5" max="5" width="10.83203125" customWidth="1"/>
    <col min="6" max="6" width="9.83203125" customWidth="1"/>
    <col min="7" max="7" width="14.83203125" bestFit="1" customWidth="1"/>
    <col min="8" max="8" width="8.5" bestFit="1" customWidth="1"/>
  </cols>
  <sheetData>
    <row r="1" spans="1:7" x14ac:dyDescent="0.2">
      <c r="A1" t="s">
        <v>22</v>
      </c>
      <c r="B1" t="s">
        <v>76</v>
      </c>
    </row>
    <row r="2" spans="1:7" x14ac:dyDescent="0.2">
      <c r="A2" t="s">
        <v>27</v>
      </c>
      <c r="B2" s="2">
        <v>43553</v>
      </c>
    </row>
    <row r="3" spans="1:7" x14ac:dyDescent="0.2">
      <c r="A3" t="s">
        <v>28</v>
      </c>
      <c r="B3" s="2">
        <v>45747</v>
      </c>
    </row>
    <row r="4" spans="1:7" x14ac:dyDescent="0.2">
      <c r="A4" t="s">
        <v>29</v>
      </c>
      <c r="B4" t="s">
        <v>30</v>
      </c>
    </row>
    <row r="5" spans="1:7" x14ac:dyDescent="0.2">
      <c r="A5" t="s">
        <v>31</v>
      </c>
      <c r="B5" t="s">
        <v>32</v>
      </c>
    </row>
    <row r="7" spans="1:7" x14ac:dyDescent="0.2">
      <c r="A7" s="26" t="s">
        <v>33</v>
      </c>
      <c r="B7" s="27" t="s">
        <v>34</v>
      </c>
      <c r="C7" s="26" t="s">
        <v>35</v>
      </c>
      <c r="D7" s="26" t="s">
        <v>70</v>
      </c>
      <c r="E7" s="27" t="s">
        <v>18</v>
      </c>
      <c r="F7" s="29" t="s">
        <v>37</v>
      </c>
      <c r="G7" s="31" t="s">
        <v>17</v>
      </c>
    </row>
    <row r="8" spans="1:7" x14ac:dyDescent="0.2">
      <c r="A8" s="3">
        <v>45747</v>
      </c>
      <c r="B8" s="1" t="str">
        <f>_xlfn.CONCAT(MONTH(A8),"-",YEAR(A8))</f>
        <v>3-2025</v>
      </c>
      <c r="C8">
        <v>67.73</v>
      </c>
      <c r="D8">
        <f>IFERROR(INDEX('EBAY - Dividends'!H:H,MATCH(B8,'EBAY - Dividends'!D:D,0)),0)</f>
        <v>0.28999999999999998</v>
      </c>
      <c r="E8" s="20">
        <f>((C8+D8)-(C9+D9))/(C8+D8)</f>
        <v>4.8221111437812623E-2</v>
      </c>
      <c r="F8" s="20">
        <f>INDEX('10YR Treasury'!E:E,MATCH(B8,'10YR Treasury'!B:B,0))</f>
        <v>3.504416666666667E-3</v>
      </c>
      <c r="G8" s="30">
        <f t="shared" ref="G8:G39" si="0">E8-F8</f>
        <v>4.4716694771145954E-2</v>
      </c>
    </row>
    <row r="9" spans="1:7" x14ac:dyDescent="0.2">
      <c r="A9" s="3">
        <v>45716</v>
      </c>
      <c r="B9" s="1" t="str">
        <f t="shared" ref="B9:B67" si="1">_xlfn.CONCAT(MONTH(A9),"-",YEAR(A9))</f>
        <v>2-2025</v>
      </c>
      <c r="C9">
        <v>64.739999999999995</v>
      </c>
      <c r="D9">
        <f>IFERROR(INDEX('EBAY - Dividends'!H:H,MATCH(B9,'EBAY - Dividends'!D:D,0)),0)</f>
        <v>0</v>
      </c>
      <c r="E9" s="20">
        <f t="shared" ref="E9:E66" si="2">((C9+D9)-(C10+D10))/(C9+D9)</f>
        <v>-4.232313870868102E-2</v>
      </c>
      <c r="F9" s="20">
        <f>INDEX('10YR Treasury'!E:E,MATCH(B9,'10YR Treasury'!B:B,0))</f>
        <v>3.5068333333333332E-3</v>
      </c>
      <c r="G9" s="30">
        <f t="shared" si="0"/>
        <v>-4.5829972042014354E-2</v>
      </c>
    </row>
    <row r="10" spans="1:7" x14ac:dyDescent="0.2">
      <c r="A10" s="3">
        <v>45688</v>
      </c>
      <c r="B10" s="1" t="str">
        <f t="shared" si="1"/>
        <v>1-2025</v>
      </c>
      <c r="C10">
        <v>67.48</v>
      </c>
      <c r="D10">
        <f>IFERROR(INDEX('EBAY - Dividends'!H:H,MATCH(B10,'EBAY - Dividends'!D:D,0)),0)</f>
        <v>0</v>
      </c>
      <c r="E10" s="20">
        <f t="shared" si="2"/>
        <v>8.1950207468879682E-2</v>
      </c>
      <c r="F10" s="20">
        <f>INDEX('10YR Treasury'!E:E,MATCH(B10,'10YR Treasury'!B:B,0))</f>
        <v>3.7822500000000005E-3</v>
      </c>
      <c r="G10" s="30">
        <f t="shared" si="0"/>
        <v>7.8167957468879681E-2</v>
      </c>
    </row>
    <row r="11" spans="1:7" x14ac:dyDescent="0.2">
      <c r="A11" s="3">
        <v>45657</v>
      </c>
      <c r="B11" s="1" t="str">
        <f t="shared" si="1"/>
        <v>12-2024</v>
      </c>
      <c r="C11">
        <v>61.95</v>
      </c>
      <c r="D11">
        <f>IFERROR(INDEX('EBAY - Dividends'!H:H,MATCH(B11,'EBAY - Dividends'!D:D,0)),0)</f>
        <v>0</v>
      </c>
      <c r="E11" s="20">
        <f t="shared" si="2"/>
        <v>-2.598870056497174E-2</v>
      </c>
      <c r="F11" s="20">
        <f>INDEX('10YR Treasury'!E:E,MATCH(B11,'10YR Treasury'!B:B,0))</f>
        <v>3.8075000000000001E-3</v>
      </c>
      <c r="G11" s="30">
        <f t="shared" si="0"/>
        <v>-2.9796200564971738E-2</v>
      </c>
    </row>
    <row r="12" spans="1:7" x14ac:dyDescent="0.2">
      <c r="A12" s="3">
        <v>45625</v>
      </c>
      <c r="B12" s="1" t="str">
        <f t="shared" si="1"/>
        <v>11-2024</v>
      </c>
      <c r="C12">
        <v>63.29</v>
      </c>
      <c r="D12">
        <f>IFERROR(INDEX('EBAY - Dividends'!H:H,MATCH(B12,'EBAY - Dividends'!D:D,0)),0)</f>
        <v>0.27</v>
      </c>
      <c r="E12" s="20">
        <f t="shared" si="2"/>
        <v>9.5185651353052292E-2</v>
      </c>
      <c r="F12" s="20">
        <f>INDEX('10YR Treasury'!E:E,MATCH(B12,'10YR Treasury'!B:B,0))</f>
        <v>3.4737499999999998E-3</v>
      </c>
      <c r="G12" s="30">
        <f t="shared" si="0"/>
        <v>9.1711901353052294E-2</v>
      </c>
    </row>
    <row r="13" spans="1:7" x14ac:dyDescent="0.2">
      <c r="A13" s="3">
        <v>45596</v>
      </c>
      <c r="B13" s="1" t="str">
        <f t="shared" si="1"/>
        <v>10-2024</v>
      </c>
      <c r="C13">
        <v>57.51</v>
      </c>
      <c r="D13">
        <f>IFERROR(INDEX('EBAY - Dividends'!H:H,MATCH(B13,'EBAY - Dividends'!D:D,0)),0)</f>
        <v>0</v>
      </c>
      <c r="E13" s="20">
        <f t="shared" si="2"/>
        <v>-0.13215093027299604</v>
      </c>
      <c r="F13" s="20">
        <f>INDEX('10YR Treasury'!E:E,MATCH(B13,'10YR Treasury'!B:B,0))</f>
        <v>3.5703333333333333E-3</v>
      </c>
      <c r="G13" s="30">
        <f t="shared" si="0"/>
        <v>-0.13572126360632938</v>
      </c>
    </row>
    <row r="14" spans="1:7" x14ac:dyDescent="0.2">
      <c r="A14" s="3">
        <v>45565</v>
      </c>
      <c r="B14" s="1" t="str">
        <f t="shared" si="1"/>
        <v>9-2024</v>
      </c>
      <c r="C14">
        <v>65.11</v>
      </c>
      <c r="D14">
        <f>IFERROR(INDEX('EBAY - Dividends'!H:H,MATCH(B14,'EBAY - Dividends'!D:D,0)),0)</f>
        <v>0</v>
      </c>
      <c r="E14" s="20">
        <f t="shared" si="2"/>
        <v>8.8158500998310477E-2</v>
      </c>
      <c r="F14" s="20">
        <f>INDEX('10YR Treasury'!E:E,MATCH(B14,'10YR Treasury'!B:B,0))</f>
        <v>3.1507499999999999E-3</v>
      </c>
      <c r="G14" s="30">
        <f t="shared" si="0"/>
        <v>8.5007750998310483E-2</v>
      </c>
    </row>
    <row r="15" spans="1:7" x14ac:dyDescent="0.2">
      <c r="A15" s="3">
        <v>45534</v>
      </c>
      <c r="B15" s="1" t="str">
        <f t="shared" si="1"/>
        <v>8-2024</v>
      </c>
      <c r="C15">
        <v>59.1</v>
      </c>
      <c r="D15">
        <f>IFERROR(INDEX('EBAY - Dividends'!H:H,MATCH(B15,'EBAY - Dividends'!D:D,0)),0)</f>
        <v>0.27</v>
      </c>
      <c r="E15" s="20">
        <f t="shared" si="2"/>
        <v>6.3331648980966895E-2</v>
      </c>
      <c r="F15" s="20">
        <f>INDEX('10YR Treasury'!E:E,MATCH(B15,'10YR Treasury'!B:B,0))</f>
        <v>3.2528333333333333E-3</v>
      </c>
      <c r="G15" s="30">
        <f t="shared" si="0"/>
        <v>6.0078815647633566E-2</v>
      </c>
    </row>
    <row r="16" spans="1:7" x14ac:dyDescent="0.2">
      <c r="A16" s="3">
        <v>45504</v>
      </c>
      <c r="B16" s="1" t="str">
        <f t="shared" si="1"/>
        <v>7-2024</v>
      </c>
      <c r="C16">
        <v>55.61</v>
      </c>
      <c r="D16">
        <f>IFERROR(INDEX('EBAY - Dividends'!H:H,MATCH(B16,'EBAY - Dividends'!D:D,0)),0)</f>
        <v>0</v>
      </c>
      <c r="E16" s="20">
        <f t="shared" si="2"/>
        <v>3.3986693040820005E-2</v>
      </c>
      <c r="F16" s="20">
        <f>INDEX('10YR Treasury'!E:E,MATCH(B16,'10YR Treasury'!B:B,0))</f>
        <v>3.3580000000000003E-3</v>
      </c>
      <c r="G16" s="30">
        <f t="shared" si="0"/>
        <v>3.0628693040820006E-2</v>
      </c>
    </row>
    <row r="17" spans="1:7" x14ac:dyDescent="0.2">
      <c r="A17" s="3">
        <v>45471</v>
      </c>
      <c r="B17" s="1" t="str">
        <f t="shared" si="1"/>
        <v>6-2024</v>
      </c>
      <c r="C17">
        <v>53.72</v>
      </c>
      <c r="D17">
        <f>IFERROR(INDEX('EBAY - Dividends'!H:H,MATCH(B17,'EBAY - Dividends'!D:D,0)),0)</f>
        <v>0</v>
      </c>
      <c r="E17" s="20">
        <f t="shared" si="2"/>
        <v>-1.4333581533879433E-2</v>
      </c>
      <c r="F17" s="20">
        <f>INDEX('10YR Treasury'!E:E,MATCH(B17,'10YR Treasury'!B:B,0))</f>
        <v>3.6634166666666664E-3</v>
      </c>
      <c r="G17" s="30">
        <f t="shared" si="0"/>
        <v>-1.7996998200546101E-2</v>
      </c>
    </row>
    <row r="18" spans="1:7" x14ac:dyDescent="0.2">
      <c r="A18" s="3">
        <v>45443</v>
      </c>
      <c r="B18" s="1" t="str">
        <f t="shared" si="1"/>
        <v>5-2024</v>
      </c>
      <c r="C18">
        <v>54.22</v>
      </c>
      <c r="D18">
        <f>IFERROR(INDEX('EBAY - Dividends'!H:H,MATCH(B18,'EBAY - Dividends'!D:D,0)),0)</f>
        <v>0.27</v>
      </c>
      <c r="E18" s="20">
        <f t="shared" si="2"/>
        <v>5.4138374013580522E-2</v>
      </c>
      <c r="F18" s="20">
        <f>INDEX('10YR Treasury'!E:E,MATCH(B18,'10YR Treasury'!B:B,0))</f>
        <v>3.7487499999999999E-3</v>
      </c>
      <c r="G18" s="30">
        <f t="shared" si="0"/>
        <v>5.038962401358052E-2</v>
      </c>
    </row>
    <row r="19" spans="1:7" x14ac:dyDescent="0.2">
      <c r="A19" s="3">
        <v>45412</v>
      </c>
      <c r="B19" s="1" t="str">
        <f t="shared" si="1"/>
        <v>4-2024</v>
      </c>
      <c r="C19">
        <v>51.54</v>
      </c>
      <c r="D19">
        <f>IFERROR(INDEX('EBAY - Dividends'!H:H,MATCH(B19,'EBAY - Dividends'!D:D,0)),0)</f>
        <v>0</v>
      </c>
      <c r="E19" s="20">
        <f t="shared" si="2"/>
        <v>-2.9297632906480502E-2</v>
      </c>
      <c r="F19" s="20">
        <f>INDEX('10YR Treasury'!E:E,MATCH(B19,'10YR Treasury'!B:B,0))</f>
        <v>3.8998333333333333E-3</v>
      </c>
      <c r="G19" s="30">
        <f t="shared" si="0"/>
        <v>-3.3197466239813837E-2</v>
      </c>
    </row>
    <row r="20" spans="1:7" x14ac:dyDescent="0.2">
      <c r="A20" s="3">
        <v>45379</v>
      </c>
      <c r="B20" s="1" t="str">
        <f t="shared" si="1"/>
        <v>3-2024</v>
      </c>
      <c r="C20">
        <v>52.78</v>
      </c>
      <c r="D20">
        <f>IFERROR(INDEX('EBAY - Dividends'!H:H,MATCH(B20,'EBAY - Dividends'!D:D,0)),0)</f>
        <v>0.27</v>
      </c>
      <c r="E20" s="20">
        <f t="shared" si="2"/>
        <v>0.1087653157398681</v>
      </c>
      <c r="F20" s="20">
        <f>INDEX('10YR Treasury'!E:E,MATCH(B20,'10YR Treasury'!B:B,0))</f>
        <v>3.5002500000000003E-3</v>
      </c>
      <c r="G20" s="30">
        <f t="shared" si="0"/>
        <v>0.1052650657398681</v>
      </c>
    </row>
    <row r="21" spans="1:7" x14ac:dyDescent="0.2">
      <c r="A21" s="3">
        <v>45351</v>
      </c>
      <c r="B21" s="1" t="str">
        <f t="shared" si="1"/>
        <v>2-2024</v>
      </c>
      <c r="C21">
        <v>47.28</v>
      </c>
      <c r="D21">
        <f>IFERROR(INDEX('EBAY - Dividends'!H:H,MATCH(B21,'EBAY - Dividends'!D:D,0)),0)</f>
        <v>0</v>
      </c>
      <c r="E21" s="20">
        <f t="shared" si="2"/>
        <v>0.13134517766497464</v>
      </c>
      <c r="F21" s="20">
        <f>INDEX('10YR Treasury'!E:E,MATCH(B21,'10YR Treasury'!B:B,0))</f>
        <v>3.5418333333333339E-3</v>
      </c>
      <c r="G21" s="30">
        <f t="shared" si="0"/>
        <v>0.12780334433164131</v>
      </c>
    </row>
    <row r="22" spans="1:7" x14ac:dyDescent="0.2">
      <c r="A22" s="3">
        <v>45322</v>
      </c>
      <c r="B22" s="1" t="str">
        <f t="shared" si="1"/>
        <v>1-2024</v>
      </c>
      <c r="C22">
        <v>41.07</v>
      </c>
      <c r="D22">
        <f>IFERROR(INDEX('EBAY - Dividends'!H:H,MATCH(B22,'EBAY - Dividends'!D:D,0)),0)</f>
        <v>0</v>
      </c>
      <c r="E22" s="20">
        <f t="shared" si="2"/>
        <v>-6.2089116143170128E-2</v>
      </c>
      <c r="F22" s="20">
        <f>INDEX('10YR Treasury'!E:E,MATCH(B22,'10YR Treasury'!B:B,0))</f>
        <v>3.2603333333333334E-3</v>
      </c>
      <c r="G22" s="30">
        <f t="shared" si="0"/>
        <v>-6.5349449476503466E-2</v>
      </c>
    </row>
    <row r="23" spans="1:7" x14ac:dyDescent="0.2">
      <c r="A23" s="3">
        <v>45289</v>
      </c>
      <c r="B23" s="1" t="str">
        <f t="shared" si="1"/>
        <v>12-2023</v>
      </c>
      <c r="C23">
        <v>43.62</v>
      </c>
      <c r="D23">
        <f>IFERROR(INDEX('EBAY - Dividends'!H:H,MATCH(B23,'EBAY - Dividends'!D:D,0)),0)</f>
        <v>0</v>
      </c>
      <c r="E23" s="20">
        <f t="shared" si="2"/>
        <v>5.4103622191655196E-2</v>
      </c>
      <c r="F23" s="20">
        <f>INDEX('10YR Treasury'!E:E,MATCH(B23,'10YR Treasury'!B:B,0))</f>
        <v>3.2325833333333334E-3</v>
      </c>
      <c r="G23" s="30">
        <f t="shared" si="0"/>
        <v>5.0871038858321865E-2</v>
      </c>
    </row>
    <row r="24" spans="1:7" x14ac:dyDescent="0.2">
      <c r="A24" s="3">
        <v>45260</v>
      </c>
      <c r="B24" s="1" t="str">
        <f t="shared" si="1"/>
        <v>11-2023</v>
      </c>
      <c r="C24">
        <v>41.01</v>
      </c>
      <c r="D24">
        <f>IFERROR(INDEX('EBAY - Dividends'!H:H,MATCH(B24,'EBAY - Dividends'!D:D,0)),0)</f>
        <v>0.25</v>
      </c>
      <c r="E24" s="20">
        <f t="shared" si="2"/>
        <v>4.9200193892389756E-2</v>
      </c>
      <c r="F24" s="20">
        <f>INDEX('10YR Treasury'!E:E,MATCH(B24,'10YR Treasury'!B:B,0))</f>
        <v>3.6053333333333328E-3</v>
      </c>
      <c r="G24" s="30">
        <f t="shared" si="0"/>
        <v>4.559486055905642E-2</v>
      </c>
    </row>
    <row r="25" spans="1:7" x14ac:dyDescent="0.2">
      <c r="A25" s="3">
        <v>45230</v>
      </c>
      <c r="B25" s="1" t="str">
        <f t="shared" si="1"/>
        <v>10-2023</v>
      </c>
      <c r="C25">
        <v>39.229999999999997</v>
      </c>
      <c r="D25">
        <f>IFERROR(INDEX('EBAY - Dividends'!H:H,MATCH(B25,'EBAY - Dividends'!D:D,0)),0)</f>
        <v>0</v>
      </c>
      <c r="E25" s="20">
        <f t="shared" si="2"/>
        <v>-0.12388478205455027</v>
      </c>
      <c r="F25" s="20">
        <f>INDEX('10YR Treasury'!E:E,MATCH(B25,'10YR Treasury'!B:B,0))</f>
        <v>4.108916666666667E-3</v>
      </c>
      <c r="G25" s="30">
        <f t="shared" si="0"/>
        <v>-0.12799369872121694</v>
      </c>
    </row>
    <row r="26" spans="1:7" x14ac:dyDescent="0.2">
      <c r="A26" s="3">
        <v>45198</v>
      </c>
      <c r="B26" s="1" t="str">
        <f t="shared" si="1"/>
        <v>9-2023</v>
      </c>
      <c r="C26">
        <v>44.09</v>
      </c>
      <c r="D26">
        <f>IFERROR(INDEX('EBAY - Dividends'!H:H,MATCH(B26,'EBAY - Dividends'!D:D,0)),0)</f>
        <v>0</v>
      </c>
      <c r="E26" s="20">
        <f t="shared" si="2"/>
        <v>-2.1320027217055969E-2</v>
      </c>
      <c r="F26" s="20">
        <f>INDEX('10YR Treasury'!E:E,MATCH(B26,'10YR Treasury'!B:B,0))</f>
        <v>3.8092500000000001E-3</v>
      </c>
      <c r="G26" s="30">
        <f t="shared" si="0"/>
        <v>-2.5129277217055969E-2</v>
      </c>
    </row>
    <row r="27" spans="1:7" x14ac:dyDescent="0.2">
      <c r="A27" s="3">
        <v>45169</v>
      </c>
      <c r="B27" s="1" t="str">
        <f t="shared" si="1"/>
        <v>8-2023</v>
      </c>
      <c r="C27">
        <v>44.78</v>
      </c>
      <c r="D27">
        <f>IFERROR(INDEX('EBAY - Dividends'!H:H,MATCH(B27,'EBAY - Dividends'!D:D,0)),0)</f>
        <v>0.25</v>
      </c>
      <c r="E27" s="20">
        <f t="shared" si="2"/>
        <v>1.1547856984232803E-2</v>
      </c>
      <c r="F27" s="20">
        <f>INDEX('10YR Treasury'!E:E,MATCH(B27,'10YR Treasury'!B:B,0))</f>
        <v>3.4234166666666671E-3</v>
      </c>
      <c r="G27" s="30">
        <f t="shared" si="0"/>
        <v>8.1244403175661367E-3</v>
      </c>
    </row>
    <row r="28" spans="1:7" x14ac:dyDescent="0.2">
      <c r="A28" s="3">
        <v>45138</v>
      </c>
      <c r="B28" s="1" t="str">
        <f t="shared" si="1"/>
        <v>7-2023</v>
      </c>
      <c r="C28">
        <v>44.51</v>
      </c>
      <c r="D28">
        <f>IFERROR(INDEX('EBAY - Dividends'!H:H,MATCH(B28,'EBAY - Dividends'!D:D,0)),0)</f>
        <v>0</v>
      </c>
      <c r="E28" s="20">
        <f t="shared" si="2"/>
        <v>-4.0440350483037461E-3</v>
      </c>
      <c r="F28" s="20">
        <f>INDEX('10YR Treasury'!E:E,MATCH(B28,'10YR Treasury'!B:B,0))</f>
        <v>3.2990000000000003E-3</v>
      </c>
      <c r="G28" s="30">
        <f t="shared" si="0"/>
        <v>-7.3430350483037459E-3</v>
      </c>
    </row>
    <row r="29" spans="1:7" x14ac:dyDescent="0.2">
      <c r="A29" s="3">
        <v>45107</v>
      </c>
      <c r="B29" s="1" t="str">
        <f t="shared" si="1"/>
        <v>6-2023</v>
      </c>
      <c r="C29">
        <v>44.69</v>
      </c>
      <c r="D29">
        <f>IFERROR(INDEX('EBAY - Dividends'!H:H,MATCH(B29,'EBAY - Dividends'!D:D,0)),0)</f>
        <v>0</v>
      </c>
      <c r="E29" s="20">
        <f t="shared" si="2"/>
        <v>4.2515104050123043E-2</v>
      </c>
      <c r="F29" s="20">
        <f>INDEX('10YR Treasury'!E:E,MATCH(B29,'10YR Treasury'!B:B,0))</f>
        <v>3.19725E-3</v>
      </c>
      <c r="G29" s="30">
        <f t="shared" si="0"/>
        <v>3.9317854050123044E-2</v>
      </c>
    </row>
    <row r="30" spans="1:7" x14ac:dyDescent="0.2">
      <c r="A30" s="3">
        <v>45077</v>
      </c>
      <c r="B30" s="1" t="str">
        <f t="shared" si="1"/>
        <v>5-2023</v>
      </c>
      <c r="C30">
        <v>42.54</v>
      </c>
      <c r="D30">
        <f>IFERROR(INDEX('EBAY - Dividends'!H:H,MATCH(B30,'EBAY - Dividends'!D:D,0)),0)</f>
        <v>0.25</v>
      </c>
      <c r="E30" s="20">
        <f t="shared" si="2"/>
        <v>-8.5066604346810015E-2</v>
      </c>
      <c r="F30" s="20">
        <f>INDEX('10YR Treasury'!E:E,MATCH(B30,'10YR Treasury'!B:B,0))</f>
        <v>3.0355E-3</v>
      </c>
      <c r="G30" s="30">
        <f t="shared" si="0"/>
        <v>-8.8102104346810012E-2</v>
      </c>
    </row>
    <row r="31" spans="1:7" x14ac:dyDescent="0.2">
      <c r="A31" s="3">
        <v>45044</v>
      </c>
      <c r="B31" s="1" t="str">
        <f t="shared" si="1"/>
        <v>4-2023</v>
      </c>
      <c r="C31">
        <v>46.43</v>
      </c>
      <c r="D31">
        <f>IFERROR(INDEX('EBAY - Dividends'!H:H,MATCH(B31,'EBAY - Dividends'!D:D,0)),0)</f>
        <v>0</v>
      </c>
      <c r="E31" s="20">
        <f t="shared" si="2"/>
        <v>3.8983415894895589E-2</v>
      </c>
      <c r="F31" s="20">
        <f>INDEX('10YR Treasury'!E:E,MATCH(B31,'10YR Treasury'!B:B,0))</f>
        <v>2.8516666666666668E-3</v>
      </c>
      <c r="G31" s="30">
        <f t="shared" si="0"/>
        <v>3.613174922822892E-2</v>
      </c>
    </row>
    <row r="32" spans="1:7" x14ac:dyDescent="0.2">
      <c r="A32" s="3">
        <v>45016</v>
      </c>
      <c r="B32" s="1" t="str">
        <f t="shared" si="1"/>
        <v>3-2023</v>
      </c>
      <c r="C32">
        <v>44.37</v>
      </c>
      <c r="D32">
        <f>IFERROR(INDEX('EBAY - Dividends'!H:H,MATCH(B32,'EBAY - Dividends'!D:D,0)),0)</f>
        <v>0.25</v>
      </c>
      <c r="E32" s="20">
        <f t="shared" si="2"/>
        <v>-2.8686687584043056E-2</v>
      </c>
      <c r="F32" s="20">
        <f>INDEX('10YR Treasury'!E:E,MATCH(B32,'10YR Treasury'!B:B,0))</f>
        <v>2.8896666666666667E-3</v>
      </c>
      <c r="G32" s="30">
        <f t="shared" si="0"/>
        <v>-3.1576354250709725E-2</v>
      </c>
    </row>
    <row r="33" spans="1:7" x14ac:dyDescent="0.2">
      <c r="A33" s="3">
        <v>44985</v>
      </c>
      <c r="B33" s="1" t="str">
        <f t="shared" si="1"/>
        <v>2-2023</v>
      </c>
      <c r="C33">
        <v>45.9</v>
      </c>
      <c r="D33">
        <f>IFERROR(INDEX('EBAY - Dividends'!H:H,MATCH(B33,'EBAY - Dividends'!D:D,0)),0)</f>
        <v>0</v>
      </c>
      <c r="E33" s="20">
        <f t="shared" si="2"/>
        <v>-7.8431372549019635E-2</v>
      </c>
      <c r="F33" s="20">
        <f>INDEX('10YR Treasury'!E:E,MATCH(B33,'10YR Treasury'!B:B,0))</f>
        <v>3.2666666666666664E-3</v>
      </c>
      <c r="G33" s="30">
        <f t="shared" si="0"/>
        <v>-8.1698039215686302E-2</v>
      </c>
    </row>
    <row r="34" spans="1:7" x14ac:dyDescent="0.2">
      <c r="A34" s="3">
        <v>44957</v>
      </c>
      <c r="B34" s="1" t="str">
        <f t="shared" si="1"/>
        <v>1-2023</v>
      </c>
      <c r="C34">
        <v>49.5</v>
      </c>
      <c r="D34">
        <f>IFERROR(INDEX('EBAY - Dividends'!H:H,MATCH(B34,'EBAY - Dividends'!D:D,0)),0)</f>
        <v>0</v>
      </c>
      <c r="E34" s="20">
        <f t="shared" si="2"/>
        <v>0.16222222222222224</v>
      </c>
      <c r="F34" s="20">
        <f>INDEX('10YR Treasury'!E:E,MATCH(B34,'10YR Treasury'!B:B,0))</f>
        <v>2.9224166666666665E-3</v>
      </c>
      <c r="G34" s="30">
        <f t="shared" si="0"/>
        <v>0.15929980555555556</v>
      </c>
    </row>
    <row r="35" spans="1:7" x14ac:dyDescent="0.2">
      <c r="A35" s="3">
        <v>44925</v>
      </c>
      <c r="B35" s="1" t="str">
        <f t="shared" si="1"/>
        <v>12-2022</v>
      </c>
      <c r="C35">
        <v>41.47</v>
      </c>
      <c r="D35">
        <f>IFERROR(INDEX('EBAY - Dividends'!H:H,MATCH(B35,'EBAY - Dividends'!D:D,0)),0)</f>
        <v>0</v>
      </c>
      <c r="E35" s="20">
        <f t="shared" si="2"/>
        <v>-0.10103689414034236</v>
      </c>
      <c r="F35" s="20">
        <f>INDEX('10YR Treasury'!E:E,MATCH(B35,'10YR Treasury'!B:B,0))</f>
        <v>3.2290000000000001E-3</v>
      </c>
      <c r="G35" s="30">
        <f t="shared" si="0"/>
        <v>-0.10426589414034236</v>
      </c>
    </row>
    <row r="36" spans="1:7" x14ac:dyDescent="0.2">
      <c r="A36" s="3">
        <v>44895</v>
      </c>
      <c r="B36" s="1" t="str">
        <f t="shared" si="1"/>
        <v>11-2022</v>
      </c>
      <c r="C36">
        <v>45.44</v>
      </c>
      <c r="D36">
        <f>IFERROR(INDEX('EBAY - Dividends'!H:H,MATCH(B36,'EBAY - Dividends'!D:D,0)),0)</f>
        <v>0.22</v>
      </c>
      <c r="E36" s="20">
        <f t="shared" si="2"/>
        <v>0.1274638633377134</v>
      </c>
      <c r="F36" s="20">
        <f>INDEX('10YR Treasury'!E:E,MATCH(B36,'10YR Treasury'!B:B,0))</f>
        <v>3.0044999999999998E-3</v>
      </c>
      <c r="G36" s="30">
        <f t="shared" si="0"/>
        <v>0.1244593633377134</v>
      </c>
    </row>
    <row r="37" spans="1:7" x14ac:dyDescent="0.2">
      <c r="A37" s="3">
        <v>44865</v>
      </c>
      <c r="B37" s="1" t="str">
        <f t="shared" si="1"/>
        <v>10-2022</v>
      </c>
      <c r="C37">
        <v>39.840000000000003</v>
      </c>
      <c r="D37">
        <f>IFERROR(INDEX('EBAY - Dividends'!H:H,MATCH(B37,'EBAY - Dividends'!D:D,0)),0)</f>
        <v>0</v>
      </c>
      <c r="E37" s="20">
        <f t="shared" si="2"/>
        <v>7.6054216867469895E-2</v>
      </c>
      <c r="F37" s="20">
        <f>INDEX('10YR Treasury'!E:E,MATCH(B37,'10YR Treasury'!B:B,0))</f>
        <v>3.3731666666666662E-3</v>
      </c>
      <c r="G37" s="30">
        <f t="shared" si="0"/>
        <v>7.2681050200803232E-2</v>
      </c>
    </row>
    <row r="38" spans="1:7" x14ac:dyDescent="0.2">
      <c r="A38" s="3">
        <v>44834</v>
      </c>
      <c r="B38" s="1" t="str">
        <f t="shared" si="1"/>
        <v>9-2022</v>
      </c>
      <c r="C38">
        <v>36.81</v>
      </c>
      <c r="D38">
        <f>IFERROR(INDEX('EBAY - Dividends'!H:H,MATCH(B38,'EBAY - Dividends'!D:D,0)),0)</f>
        <v>0</v>
      </c>
      <c r="E38" s="20">
        <f t="shared" si="2"/>
        <v>-0.20483564248845418</v>
      </c>
      <c r="F38" s="20">
        <f>INDEX('10YR Treasury'!E:E,MATCH(B38,'10YR Treasury'!B:B,0))</f>
        <v>3.1904999999999998E-3</v>
      </c>
      <c r="G38" s="30">
        <f t="shared" si="0"/>
        <v>-0.20802614248845419</v>
      </c>
    </row>
    <row r="39" spans="1:7" x14ac:dyDescent="0.2">
      <c r="A39" s="3">
        <v>44804</v>
      </c>
      <c r="B39" s="1" t="str">
        <f t="shared" si="1"/>
        <v>8-2022</v>
      </c>
      <c r="C39">
        <v>44.13</v>
      </c>
      <c r="D39">
        <f>IFERROR(INDEX('EBAY - Dividends'!H:H,MATCH(B39,'EBAY - Dividends'!D:D,0)),0)</f>
        <v>0.22</v>
      </c>
      <c r="E39" s="20">
        <f t="shared" si="2"/>
        <v>-9.6505073280721554E-2</v>
      </c>
      <c r="F39" s="20">
        <f>INDEX('10YR Treasury'!E:E,MATCH(B39,'10YR Treasury'!B:B,0))</f>
        <v>2.6605000000000001E-3</v>
      </c>
      <c r="G39" s="30">
        <f t="shared" si="0"/>
        <v>-9.916557328072155E-2</v>
      </c>
    </row>
    <row r="40" spans="1:7" x14ac:dyDescent="0.2">
      <c r="A40" s="3">
        <v>44771</v>
      </c>
      <c r="B40" s="1" t="str">
        <f t="shared" si="1"/>
        <v>7-2022</v>
      </c>
      <c r="C40">
        <v>48.63</v>
      </c>
      <c r="D40">
        <f>IFERROR(INDEX('EBAY - Dividends'!H:H,MATCH(B40,'EBAY - Dividends'!D:D,0)),0)</f>
        <v>0</v>
      </c>
      <c r="E40" s="20">
        <f t="shared" si="2"/>
        <v>0.14312152991980259</v>
      </c>
      <c r="F40" s="20">
        <f>INDEX('10YR Treasury'!E:E,MATCH(B40,'10YR Treasury'!B:B,0))</f>
        <v>2.20725E-3</v>
      </c>
      <c r="G40" s="30">
        <f t="shared" ref="G40:G66" si="3">E40-F40</f>
        <v>0.1409142799198026</v>
      </c>
    </row>
    <row r="41" spans="1:7" x14ac:dyDescent="0.2">
      <c r="A41" s="3">
        <v>44742</v>
      </c>
      <c r="B41" s="1" t="str">
        <f t="shared" si="1"/>
        <v>6-2022</v>
      </c>
      <c r="C41">
        <v>41.67</v>
      </c>
      <c r="D41">
        <f>IFERROR(INDEX('EBAY - Dividends'!H:H,MATCH(B41,'EBAY - Dividends'!D:D,0)),0)</f>
        <v>0</v>
      </c>
      <c r="E41" s="20">
        <f t="shared" si="2"/>
        <v>-0.17326613870890326</v>
      </c>
      <c r="F41" s="20">
        <f>INDEX('10YR Treasury'!E:E,MATCH(B41,'10YR Treasury'!B:B,0))</f>
        <v>2.51075E-3</v>
      </c>
      <c r="G41" s="30">
        <f t="shared" si="3"/>
        <v>-0.17577688870890326</v>
      </c>
    </row>
    <row r="42" spans="1:7" x14ac:dyDescent="0.2">
      <c r="A42" s="3">
        <v>44712</v>
      </c>
      <c r="B42" s="1" t="str">
        <f t="shared" si="1"/>
        <v>5-2022</v>
      </c>
      <c r="C42">
        <v>48.67</v>
      </c>
      <c r="D42">
        <f>IFERROR(INDEX('EBAY - Dividends'!H:H,MATCH(B42,'EBAY - Dividends'!D:D,0)),0)</f>
        <v>0.22</v>
      </c>
      <c r="E42" s="20">
        <f t="shared" si="2"/>
        <v>-6.1975864184904909E-2</v>
      </c>
      <c r="F42" s="20">
        <f>INDEX('10YR Treasury'!E:E,MATCH(B42,'10YR Treasury'!B:B,0))</f>
        <v>2.3700833333333334E-3</v>
      </c>
      <c r="G42" s="30">
        <f t="shared" si="3"/>
        <v>-6.4345947518238245E-2</v>
      </c>
    </row>
    <row r="43" spans="1:7" x14ac:dyDescent="0.2">
      <c r="A43" s="3">
        <v>44680</v>
      </c>
      <c r="B43" s="1" t="str">
        <f t="shared" si="1"/>
        <v>4-2022</v>
      </c>
      <c r="C43">
        <v>51.92</v>
      </c>
      <c r="D43">
        <f>IFERROR(INDEX('EBAY - Dividends'!H:H,MATCH(B43,'EBAY - Dividends'!D:D,0)),0)</f>
        <v>0</v>
      </c>
      <c r="E43" s="20">
        <f t="shared" si="2"/>
        <v>-0.10708782742681038</v>
      </c>
      <c r="F43" s="20">
        <f>INDEX('10YR Treasury'!E:E,MATCH(B43,'10YR Treasury'!B:B,0))</f>
        <v>2.444666666666667E-3</v>
      </c>
      <c r="G43" s="30">
        <f t="shared" si="3"/>
        <v>-0.10953249409347704</v>
      </c>
    </row>
    <row r="44" spans="1:7" x14ac:dyDescent="0.2">
      <c r="A44" s="3">
        <v>44651</v>
      </c>
      <c r="B44" s="1" t="str">
        <f t="shared" si="1"/>
        <v>3-2022</v>
      </c>
      <c r="C44">
        <v>57.26</v>
      </c>
      <c r="D44">
        <f>IFERROR(INDEX('EBAY - Dividends'!H:H,MATCH(B44,'EBAY - Dividends'!D:D,0)),0)</f>
        <v>0.22</v>
      </c>
      <c r="E44" s="20">
        <f t="shared" si="2"/>
        <v>5.0278357689631063E-2</v>
      </c>
      <c r="F44" s="20">
        <f>INDEX('10YR Treasury'!E:E,MATCH(B44,'10YR Treasury'!B:B,0))</f>
        <v>1.9483333333333334E-3</v>
      </c>
      <c r="G44" s="30">
        <f t="shared" si="3"/>
        <v>4.8330024356297727E-2</v>
      </c>
    </row>
    <row r="45" spans="1:7" x14ac:dyDescent="0.2">
      <c r="A45" s="3">
        <v>44620</v>
      </c>
      <c r="B45" s="1" t="str">
        <f t="shared" si="1"/>
        <v>2-2022</v>
      </c>
      <c r="C45">
        <v>54.59</v>
      </c>
      <c r="D45">
        <f>IFERROR(INDEX('EBAY - Dividends'!H:H,MATCH(B45,'EBAY - Dividends'!D:D,0)),0)</f>
        <v>0</v>
      </c>
      <c r="E45" s="20">
        <f t="shared" si="2"/>
        <v>-0.10038468583989735</v>
      </c>
      <c r="F45" s="20">
        <f>INDEX('10YR Treasury'!E:E,MATCH(B45,'10YR Treasury'!B:B,0))</f>
        <v>1.5208333333333332E-3</v>
      </c>
      <c r="G45" s="30">
        <f t="shared" si="3"/>
        <v>-0.10190551917323068</v>
      </c>
    </row>
    <row r="46" spans="1:7" x14ac:dyDescent="0.2">
      <c r="A46" s="3">
        <v>44592</v>
      </c>
      <c r="B46" s="1" t="str">
        <f t="shared" si="1"/>
        <v>1-2022</v>
      </c>
      <c r="C46">
        <v>60.07</v>
      </c>
      <c r="D46">
        <f>IFERROR(INDEX('EBAY - Dividends'!H:H,MATCH(B46,'EBAY - Dividends'!D:D,0)),0)</f>
        <v>0</v>
      </c>
      <c r="E46" s="20">
        <f t="shared" si="2"/>
        <v>-0.10704178458465123</v>
      </c>
      <c r="F46" s="20">
        <f>INDEX('10YR Treasury'!E:E,MATCH(B46,'10YR Treasury'!B:B,0))</f>
        <v>1.4805833333333333E-3</v>
      </c>
      <c r="G46" s="30">
        <f t="shared" si="3"/>
        <v>-0.10852236791798456</v>
      </c>
    </row>
    <row r="47" spans="1:7" x14ac:dyDescent="0.2">
      <c r="A47" s="3">
        <v>44561</v>
      </c>
      <c r="B47" s="1" t="str">
        <f t="shared" si="1"/>
        <v>12-2021</v>
      </c>
      <c r="C47">
        <v>66.5</v>
      </c>
      <c r="D47">
        <f>IFERROR(INDEX('EBAY - Dividends'!H:H,MATCH(B47,'EBAY - Dividends'!D:D,0)),0)</f>
        <v>0</v>
      </c>
      <c r="E47" s="20">
        <f t="shared" si="2"/>
        <v>-1.7142857142857151E-2</v>
      </c>
      <c r="F47" s="20">
        <f>INDEX('10YR Treasury'!E:E,MATCH(B47,'10YR Treasury'!B:B,0))</f>
        <v>1.2584166666666666E-3</v>
      </c>
      <c r="G47" s="30">
        <f t="shared" si="3"/>
        <v>-1.8401273809523819E-2</v>
      </c>
    </row>
    <row r="48" spans="1:7" x14ac:dyDescent="0.2">
      <c r="A48" s="3">
        <v>44530</v>
      </c>
      <c r="B48" s="1" t="str">
        <f t="shared" si="1"/>
        <v>11-2021</v>
      </c>
      <c r="C48">
        <v>67.459999999999994</v>
      </c>
      <c r="D48">
        <f>IFERROR(INDEX('EBAY - Dividends'!H:H,MATCH(B48,'EBAY - Dividends'!D:D,0)),0)</f>
        <v>0.18</v>
      </c>
      <c r="E48" s="20">
        <f t="shared" si="2"/>
        <v>-0.13424009461856887</v>
      </c>
      <c r="F48" s="20">
        <f>INDEX('10YR Treasury'!E:E,MATCH(B48,'10YR Treasury'!B:B,0))</f>
        <v>1.2035833333333332E-3</v>
      </c>
      <c r="G48" s="30">
        <f t="shared" si="3"/>
        <v>-0.13544367795190221</v>
      </c>
    </row>
    <row r="49" spans="1:7" x14ac:dyDescent="0.2">
      <c r="A49" s="3">
        <v>44498</v>
      </c>
      <c r="B49" s="1" t="str">
        <f t="shared" si="1"/>
        <v>10-2021</v>
      </c>
      <c r="C49">
        <v>76.72</v>
      </c>
      <c r="D49">
        <f>IFERROR(INDEX('EBAY - Dividends'!H:H,MATCH(B49,'EBAY - Dividends'!D:D,0)),0)</f>
        <v>0</v>
      </c>
      <c r="E49" s="20">
        <f t="shared" si="2"/>
        <v>9.1892596454640221E-2</v>
      </c>
      <c r="F49" s="20">
        <f>INDEX('10YR Treasury'!E:E,MATCH(B49,'10YR Treasury'!B:B,0))</f>
        <v>1.2934166666666667E-3</v>
      </c>
      <c r="G49" s="30">
        <f t="shared" si="3"/>
        <v>9.0599179787973549E-2</v>
      </c>
    </row>
    <row r="50" spans="1:7" x14ac:dyDescent="0.2">
      <c r="A50" s="3">
        <v>44469</v>
      </c>
      <c r="B50" s="1" t="str">
        <f t="shared" si="1"/>
        <v>9-2021</v>
      </c>
      <c r="C50">
        <v>69.67</v>
      </c>
      <c r="D50">
        <f>IFERROR(INDEX('EBAY - Dividends'!H:H,MATCH(B50,'EBAY - Dividends'!D:D,0)),0)</f>
        <v>0</v>
      </c>
      <c r="E50" s="20">
        <f t="shared" si="2"/>
        <v>-0.10406200660255489</v>
      </c>
      <c r="F50" s="20">
        <f>INDEX('10YR Treasury'!E:E,MATCH(B50,'10YR Treasury'!B:B,0))</f>
        <v>1.2394166666666667E-3</v>
      </c>
      <c r="G50" s="30">
        <f t="shared" si="3"/>
        <v>-0.10530142326922157</v>
      </c>
    </row>
    <row r="51" spans="1:7" x14ac:dyDescent="0.2">
      <c r="A51" s="3">
        <v>44439</v>
      </c>
      <c r="B51" s="1" t="str">
        <f t="shared" si="1"/>
        <v>8-2021</v>
      </c>
      <c r="C51">
        <v>76.739999999999995</v>
      </c>
      <c r="D51">
        <f>IFERROR(INDEX('EBAY - Dividends'!H:H,MATCH(B51,'EBAY - Dividends'!D:D,0)),0)</f>
        <v>0.18</v>
      </c>
      <c r="E51" s="20">
        <f t="shared" si="2"/>
        <v>0.11323452938117534</v>
      </c>
      <c r="F51" s="20">
        <f>INDEX('10YR Treasury'!E:E,MATCH(B51,'10YR Treasury'!B:B,0))</f>
        <v>1.0906666666666667E-3</v>
      </c>
      <c r="G51" s="30">
        <f t="shared" si="3"/>
        <v>0.11214386271450867</v>
      </c>
    </row>
    <row r="52" spans="1:7" x14ac:dyDescent="0.2">
      <c r="A52" s="3">
        <v>44407</v>
      </c>
      <c r="B52" s="1" t="str">
        <f t="shared" si="1"/>
        <v>7-2021</v>
      </c>
      <c r="C52">
        <v>68.209999999999994</v>
      </c>
      <c r="D52">
        <f>IFERROR(INDEX('EBAY - Dividends'!H:H,MATCH(B52,'EBAY - Dividends'!D:D,0)),0)</f>
        <v>0</v>
      </c>
      <c r="E52" s="20">
        <f t="shared" si="2"/>
        <v>-2.9321213898255389E-2</v>
      </c>
      <c r="F52" s="20">
        <f>INDEX('10YR Treasury'!E:E,MATCH(B52,'10YR Treasury'!B:B,0))</f>
        <v>1.0185833333333334E-3</v>
      </c>
      <c r="G52" s="30">
        <f t="shared" si="3"/>
        <v>-3.0339797231588722E-2</v>
      </c>
    </row>
    <row r="53" spans="1:7" x14ac:dyDescent="0.2">
      <c r="A53" s="3">
        <v>44377</v>
      </c>
      <c r="B53" s="1" t="str">
        <f t="shared" si="1"/>
        <v>6-2021</v>
      </c>
      <c r="C53">
        <v>70.209999999999994</v>
      </c>
      <c r="D53">
        <f>IFERROR(INDEX('EBAY - Dividends'!H:H,MATCH(B53,'EBAY - Dividends'!D:D,0)),0)</f>
        <v>0</v>
      </c>
      <c r="E53" s="20">
        <f t="shared" si="2"/>
        <v>0.13032331576698464</v>
      </c>
      <c r="F53" s="20">
        <f>INDEX('10YR Treasury'!E:E,MATCH(B53,'10YR Treasury'!B:B,0))</f>
        <v>1.2233333333333332E-3</v>
      </c>
      <c r="G53" s="30">
        <f t="shared" si="3"/>
        <v>0.12909998243365131</v>
      </c>
    </row>
    <row r="54" spans="1:7" x14ac:dyDescent="0.2">
      <c r="A54" s="3">
        <v>44344</v>
      </c>
      <c r="B54" s="1" t="str">
        <f t="shared" si="1"/>
        <v>5-2021</v>
      </c>
      <c r="C54">
        <v>60.88</v>
      </c>
      <c r="D54">
        <f>IFERROR(INDEX('EBAY - Dividends'!H:H,MATCH(B54,'EBAY - Dividends'!D:D,0)),0)</f>
        <v>0.18</v>
      </c>
      <c r="E54" s="20">
        <f t="shared" si="2"/>
        <v>8.6308548968228024E-2</v>
      </c>
      <c r="F54" s="20">
        <f>INDEX('10YR Treasury'!E:E,MATCH(B54,'10YR Treasury'!B:B,0))</f>
        <v>1.3285833333333333E-3</v>
      </c>
      <c r="G54" s="30">
        <f t="shared" si="3"/>
        <v>8.4979965634894697E-2</v>
      </c>
    </row>
    <row r="55" spans="1:7" x14ac:dyDescent="0.2">
      <c r="A55" s="3">
        <v>44316</v>
      </c>
      <c r="B55" s="1" t="str">
        <f t="shared" si="1"/>
        <v>4-2021</v>
      </c>
      <c r="C55">
        <v>55.79</v>
      </c>
      <c r="D55">
        <f>IFERROR(INDEX('EBAY - Dividends'!H:H,MATCH(B55,'EBAY - Dividends'!D:D,0)),0)</f>
        <v>0</v>
      </c>
      <c r="E55" s="20">
        <f t="shared" si="2"/>
        <v>-9.7687757662663618E-2</v>
      </c>
      <c r="F55" s="20">
        <f>INDEX('10YR Treasury'!E:E,MATCH(B55,'10YR Treasury'!B:B,0))</f>
        <v>1.3549166666666666E-3</v>
      </c>
      <c r="G55" s="30">
        <f t="shared" si="3"/>
        <v>-9.9042674329330282E-2</v>
      </c>
    </row>
    <row r="56" spans="1:7" x14ac:dyDescent="0.2">
      <c r="A56" s="3">
        <v>44286</v>
      </c>
      <c r="B56" s="1" t="str">
        <f t="shared" si="1"/>
        <v>3-2021</v>
      </c>
      <c r="C56">
        <v>61.24</v>
      </c>
      <c r="D56">
        <f>IFERROR(INDEX('EBAY - Dividends'!H:H,MATCH(B56,'EBAY - Dividends'!D:D,0)),0)</f>
        <v>0</v>
      </c>
      <c r="E56" s="20">
        <f t="shared" si="2"/>
        <v>7.5767472240365785E-2</v>
      </c>
      <c r="F56" s="20">
        <f>INDEX('10YR Treasury'!E:E,MATCH(B56,'10YR Treasury'!B:B,0))</f>
        <v>1.4503333333333332E-3</v>
      </c>
      <c r="G56" s="30">
        <f t="shared" si="3"/>
        <v>7.4317138907032454E-2</v>
      </c>
    </row>
    <row r="57" spans="1:7" x14ac:dyDescent="0.2">
      <c r="A57" s="3">
        <v>44253</v>
      </c>
      <c r="B57" s="1" t="str">
        <f t="shared" si="1"/>
        <v>2-2021</v>
      </c>
      <c r="C57">
        <v>56.42</v>
      </c>
      <c r="D57">
        <f>IFERROR(INDEX('EBAY - Dividends'!H:H,MATCH(B57,'EBAY - Dividends'!D:D,0)),0)</f>
        <v>0.18</v>
      </c>
      <c r="E57" s="20">
        <f t="shared" si="2"/>
        <v>1.5901060070671979E-3</v>
      </c>
      <c r="F57" s="20">
        <f>INDEX('10YR Treasury'!E:E,MATCH(B57,'10YR Treasury'!B:B,0))</f>
        <v>1.1707500000000001E-3</v>
      </c>
      <c r="G57" s="30">
        <f t="shared" si="3"/>
        <v>4.1935600706719781E-4</v>
      </c>
    </row>
    <row r="58" spans="1:7" x14ac:dyDescent="0.2">
      <c r="A58" s="3">
        <v>44225</v>
      </c>
      <c r="B58" s="1" t="str">
        <f t="shared" si="1"/>
        <v>1-2021</v>
      </c>
      <c r="C58">
        <v>56.51</v>
      </c>
      <c r="D58">
        <f>IFERROR(INDEX('EBAY - Dividends'!H:H,MATCH(B58,'EBAY - Dividends'!D:D,0)),0)</f>
        <v>0</v>
      </c>
      <c r="E58" s="20">
        <f t="shared" si="2"/>
        <v>0.11077685365422046</v>
      </c>
      <c r="F58" s="20">
        <f>INDEX('10YR Treasury'!E:E,MATCH(B58,'10YR Treasury'!B:B,0))</f>
        <v>8.8791666666666663E-4</v>
      </c>
      <c r="G58" s="30">
        <f t="shared" si="3"/>
        <v>0.1098889369875538</v>
      </c>
    </row>
    <row r="59" spans="1:7" x14ac:dyDescent="0.2">
      <c r="A59" s="3">
        <v>44196</v>
      </c>
      <c r="B59" s="1" t="str">
        <f t="shared" si="1"/>
        <v>12-2020</v>
      </c>
      <c r="C59">
        <v>50.25</v>
      </c>
      <c r="D59">
        <f>IFERROR(INDEX('EBAY - Dividends'!H:H,MATCH(B59,'EBAY - Dividends'!D:D,0)),0)</f>
        <v>0</v>
      </c>
      <c r="E59" s="20">
        <f t="shared" si="2"/>
        <v>-6.7661691542287824E-3</v>
      </c>
      <c r="F59" s="20">
        <f>INDEX('10YR Treasury'!E:E,MATCH(B59,'10YR Treasury'!B:B,0))</f>
        <v>7.6099999999999996E-4</v>
      </c>
      <c r="G59" s="30">
        <f t="shared" si="3"/>
        <v>-7.5271691542287827E-3</v>
      </c>
    </row>
    <row r="60" spans="1:7" x14ac:dyDescent="0.2">
      <c r="A60" s="3">
        <v>44165</v>
      </c>
      <c r="B60" s="1" t="str">
        <f t="shared" si="1"/>
        <v>11-2020</v>
      </c>
      <c r="C60">
        <v>50.43</v>
      </c>
      <c r="D60">
        <f>IFERROR(INDEX('EBAY - Dividends'!H:H,MATCH(B60,'EBAY - Dividends'!D:D,0)),0)</f>
        <v>0.16</v>
      </c>
      <c r="E60" s="20">
        <f t="shared" si="2"/>
        <v>5.850958687487634E-2</v>
      </c>
      <c r="F60" s="20">
        <f>INDEX('10YR Treasury'!E:E,MATCH(B60,'10YR Treasury'!B:B,0))</f>
        <v>6.9908333333333335E-4</v>
      </c>
      <c r="G60" s="30">
        <f t="shared" si="3"/>
        <v>5.7810503541543004E-2</v>
      </c>
    </row>
    <row r="61" spans="1:7" x14ac:dyDescent="0.2">
      <c r="A61" s="3">
        <v>44134</v>
      </c>
      <c r="B61" s="1" t="str">
        <f t="shared" si="1"/>
        <v>10-2020</v>
      </c>
      <c r="C61">
        <v>47.63</v>
      </c>
      <c r="D61">
        <f>IFERROR(INDEX('EBAY - Dividends'!H:H,MATCH(B61,'EBAY - Dividends'!D:D,0)),0)</f>
        <v>0</v>
      </c>
      <c r="E61" s="20">
        <f t="shared" si="2"/>
        <v>-9.384841486458112E-2</v>
      </c>
      <c r="F61" s="20">
        <f>INDEX('10YR Treasury'!E:E,MATCH(B61,'10YR Treasury'!B:B,0))</f>
        <v>7.280833333333334E-4</v>
      </c>
      <c r="G61" s="30">
        <f t="shared" si="3"/>
        <v>-9.4576498197914458E-2</v>
      </c>
    </row>
    <row r="62" spans="1:7" x14ac:dyDescent="0.2">
      <c r="A62" s="3">
        <v>44104</v>
      </c>
      <c r="B62" s="1" t="str">
        <f t="shared" si="1"/>
        <v>9-2020</v>
      </c>
      <c r="C62">
        <v>52.1</v>
      </c>
      <c r="D62">
        <f>IFERROR(INDEX('EBAY - Dividends'!H:H,MATCH(B62,'EBAY - Dividends'!D:D,0)),0)</f>
        <v>0</v>
      </c>
      <c r="E62" s="20">
        <f t="shared" si="2"/>
        <v>-5.4510556621880923E-2</v>
      </c>
      <c r="F62" s="20">
        <f>INDEX('10YR Treasury'!E:E,MATCH(B62,'10YR Treasury'!B:B,0))</f>
        <v>5.7000000000000009E-4</v>
      </c>
      <c r="G62" s="30">
        <f t="shared" si="3"/>
        <v>-5.5080556621880924E-2</v>
      </c>
    </row>
    <row r="63" spans="1:7" x14ac:dyDescent="0.2">
      <c r="A63" s="3">
        <v>44074</v>
      </c>
      <c r="B63" s="1" t="str">
        <f t="shared" si="1"/>
        <v>8-2020</v>
      </c>
      <c r="C63">
        <v>54.78</v>
      </c>
      <c r="D63">
        <f>IFERROR(INDEX('EBAY - Dividends'!H:H,MATCH(B63,'EBAY - Dividends'!D:D,0)),0)</f>
        <v>0.16</v>
      </c>
      <c r="E63" s="20">
        <f t="shared" si="2"/>
        <v>-6.1885693483801135E-3</v>
      </c>
      <c r="F63" s="20">
        <f>INDEX('10YR Treasury'!E:E,MATCH(B63,'10YR Treasury'!B:B,0))</f>
        <v>5.8733333333333337E-4</v>
      </c>
      <c r="G63" s="30">
        <f t="shared" si="3"/>
        <v>-6.7759026817134464E-3</v>
      </c>
    </row>
    <row r="64" spans="1:7" x14ac:dyDescent="0.2">
      <c r="A64" s="3">
        <v>44043</v>
      </c>
      <c r="B64" s="1" t="str">
        <f t="shared" si="1"/>
        <v>7-2020</v>
      </c>
      <c r="C64">
        <v>55.28</v>
      </c>
      <c r="D64">
        <f>IFERROR(INDEX('EBAY - Dividends'!H:H,MATCH(B64,'EBAY - Dividends'!D:D,0)),0)</f>
        <v>0</v>
      </c>
      <c r="E64" s="20">
        <f t="shared" si="2"/>
        <v>5.119392185238781E-2</v>
      </c>
      <c r="F64" s="20">
        <f>INDEX('10YR Treasury'!E:E,MATCH(B64,'10YR Treasury'!B:B,0))</f>
        <v>4.4016666666666667E-4</v>
      </c>
      <c r="G64" s="30">
        <f t="shared" si="3"/>
        <v>5.0753755185721144E-2</v>
      </c>
    </row>
    <row r="65" spans="1:7" x14ac:dyDescent="0.2">
      <c r="A65" s="3">
        <v>44012</v>
      </c>
      <c r="B65" s="1" t="str">
        <f t="shared" si="1"/>
        <v>6-2020</v>
      </c>
      <c r="C65">
        <v>52.45</v>
      </c>
      <c r="D65">
        <f>IFERROR(INDEX('EBAY - Dividends'!H:H,MATCH(B65,'EBAY - Dividends'!D:D,0)),0)</f>
        <v>0</v>
      </c>
      <c r="E65" s="20">
        <f t="shared" si="2"/>
        <v>0.12869399428026704</v>
      </c>
      <c r="F65" s="20">
        <f>INDEX('10YR Treasury'!E:E,MATCH(B65,'10YR Treasury'!B:B,0))</f>
        <v>5.4675000000000004E-4</v>
      </c>
      <c r="G65" s="30">
        <f t="shared" si="3"/>
        <v>0.12814724428026703</v>
      </c>
    </row>
    <row r="66" spans="1:7" x14ac:dyDescent="0.2">
      <c r="A66" s="3">
        <v>43980</v>
      </c>
      <c r="B66" s="1" t="str">
        <f t="shared" si="1"/>
        <v>5-2020</v>
      </c>
      <c r="C66">
        <v>45.54</v>
      </c>
      <c r="D66">
        <f>IFERROR(INDEX('EBAY - Dividends'!H:H,MATCH(B66,'EBAY - Dividends'!D:D,0)),0)</f>
        <v>0.16</v>
      </c>
      <c r="E66" s="20">
        <f t="shared" si="2"/>
        <v>0.12844638949671769</v>
      </c>
      <c r="F66" s="20">
        <f>INDEX('10YR Treasury'!E:E,MATCH(B66,'10YR Treasury'!B:B,0))</f>
        <v>5.4383333333333334E-4</v>
      </c>
      <c r="G66" s="30">
        <f t="shared" si="3"/>
        <v>0.12790255616338436</v>
      </c>
    </row>
    <row r="67" spans="1:7" x14ac:dyDescent="0.2">
      <c r="A67" s="3">
        <v>43951</v>
      </c>
      <c r="B67" s="1" t="str">
        <f t="shared" si="1"/>
        <v>4-2020</v>
      </c>
      <c r="C67">
        <v>39.83</v>
      </c>
      <c r="D67">
        <f>IFERROR(INDEX('EBAY - Dividends'!H:H,MATCH(B67,'EBAY - Dividends'!D:D,0)),0)</f>
        <v>0</v>
      </c>
      <c r="E67" s="8"/>
      <c r="F67" s="20">
        <f>INDEX('10YR Treasury'!E:E,MATCH(B67,'10YR Treasury'!B:B,0))</f>
        <v>5.3275000000000002E-4</v>
      </c>
      <c r="G67" s="30"/>
    </row>
    <row r="68" spans="1:7" x14ac:dyDescent="0.2">
      <c r="A68" s="3"/>
      <c r="B68" s="33" t="s">
        <v>38</v>
      </c>
      <c r="C68" s="34">
        <f>AVERAGE(C8:C67)</f>
        <v>53.315666666666665</v>
      </c>
      <c r="D68" s="34"/>
      <c r="E68" s="35">
        <f>AVERAGE(E8:E67)</f>
        <v>4.9795291394358256E-3</v>
      </c>
      <c r="F68" s="35">
        <f>AVERAGE(F8:F67)</f>
        <v>2.3755305555555536E-3</v>
      </c>
      <c r="G68" s="36">
        <f t="shared" ref="G68" si="4">AVERAGE(G8:G67)</f>
        <v>2.5727650151420407E-3</v>
      </c>
    </row>
    <row r="69" spans="1:7" x14ac:dyDescent="0.2">
      <c r="A69" s="3"/>
      <c r="B69" t="s">
        <v>15</v>
      </c>
      <c r="C69" s="5">
        <f>STDEV(C8:C67)</f>
        <v>9.9510350993262033</v>
      </c>
      <c r="D69" s="5"/>
      <c r="E69" s="32">
        <f>STDEV(E8:E67)</f>
        <v>9.0896593979500423E-2</v>
      </c>
      <c r="F69" s="32">
        <f>STDEV(F8:F67)</f>
        <v>1.1818054352796658E-3</v>
      </c>
      <c r="G69" s="37">
        <f t="shared" ref="G69" si="5">STDEV(G8:G67)</f>
        <v>9.0983208405246208E-2</v>
      </c>
    </row>
    <row r="70" spans="1:7" x14ac:dyDescent="0.2">
      <c r="A70" s="3"/>
      <c r="B70" t="s">
        <v>39</v>
      </c>
      <c r="C70" s="58">
        <f>(C8-C67)/C67</f>
        <v>0.70047702736630701</v>
      </c>
    </row>
    <row r="71" spans="1:7" x14ac:dyDescent="0.2">
      <c r="A71" s="3"/>
    </row>
    <row r="72" spans="1:7" x14ac:dyDescent="0.2">
      <c r="A72" s="3"/>
    </row>
    <row r="73" spans="1:7" x14ac:dyDescent="0.2">
      <c r="A73" s="3"/>
    </row>
    <row r="74" spans="1:7" x14ac:dyDescent="0.2">
      <c r="A74" s="3"/>
    </row>
    <row r="75" spans="1:7" x14ac:dyDescent="0.2">
      <c r="A75" s="3"/>
    </row>
    <row r="76" spans="1:7" x14ac:dyDescent="0.2">
      <c r="A76" s="3"/>
    </row>
    <row r="77" spans="1:7" x14ac:dyDescent="0.2">
      <c r="A77" s="3"/>
    </row>
    <row r="78" spans="1:7" x14ac:dyDescent="0.2">
      <c r="A78" s="3"/>
    </row>
    <row r="79" spans="1:7" x14ac:dyDescent="0.2">
      <c r="A79" s="3"/>
    </row>
    <row r="80" spans="1:7" x14ac:dyDescent="0.2">
      <c r="A80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E256-220F-46C5-8452-367D79EA636F}">
  <sheetPr>
    <tabColor theme="6" tint="0.79998168889431442"/>
  </sheetPr>
  <dimension ref="A3:J26"/>
  <sheetViews>
    <sheetView topLeftCell="C1" workbookViewId="0">
      <selection activeCell="D24" sqref="D24"/>
    </sheetView>
  </sheetViews>
  <sheetFormatPr baseColWidth="10" defaultColWidth="8.83203125" defaultRowHeight="15" x14ac:dyDescent="0.2"/>
  <cols>
    <col min="1" max="1" width="4.5" customWidth="1"/>
    <col min="2" max="2" width="11.1640625" bestFit="1" customWidth="1"/>
    <col min="3" max="3" width="10.6640625" bestFit="1" customWidth="1"/>
    <col min="4" max="4" width="10.6640625" customWidth="1"/>
    <col min="5" max="6" width="10.6640625" bestFit="1" customWidth="1"/>
    <col min="7" max="7" width="4.6640625" bestFit="1" customWidth="1"/>
    <col min="8" max="8" width="8.1640625" bestFit="1" customWidth="1"/>
    <col min="9" max="9" width="15.6640625" bestFit="1" customWidth="1"/>
    <col min="10" max="10" width="14.1640625" bestFit="1" customWidth="1"/>
  </cols>
  <sheetData>
    <row r="3" spans="1:10" x14ac:dyDescent="0.2">
      <c r="A3" t="s">
        <v>77</v>
      </c>
    </row>
    <row r="4" spans="1:10" x14ac:dyDescent="0.2">
      <c r="A4" t="s">
        <v>78</v>
      </c>
    </row>
    <row r="5" spans="1:10" x14ac:dyDescent="0.2">
      <c r="B5" t="s">
        <v>71</v>
      </c>
      <c r="C5" t="s">
        <v>43</v>
      </c>
      <c r="D5" s="23" t="s">
        <v>34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">
      <c r="A6" t="s">
        <v>50</v>
      </c>
      <c r="B6" s="3">
        <v>45714</v>
      </c>
      <c r="C6" s="3">
        <v>45730</v>
      </c>
      <c r="D6" s="1" t="str">
        <f t="shared" ref="D6:D25" si="0">_xlfn.CONCAT(MONTH(C6),"-",YEAR(C6))</f>
        <v>3-2025</v>
      </c>
      <c r="E6" s="3">
        <v>45730</v>
      </c>
      <c r="F6" s="3">
        <v>45744</v>
      </c>
      <c r="G6" t="s">
        <v>32</v>
      </c>
      <c r="H6">
        <v>0.28999999999999998</v>
      </c>
      <c r="I6" t="s">
        <v>51</v>
      </c>
      <c r="J6">
        <f>INDEX('EBAY - Stock PX'!C:C,MATCH(D6,'EBAY - Stock PX'!B:B,0))</f>
        <v>67.73</v>
      </c>
    </row>
    <row r="7" spans="1:10" x14ac:dyDescent="0.2">
      <c r="A7" t="s">
        <v>52</v>
      </c>
      <c r="B7" s="3">
        <v>45595</v>
      </c>
      <c r="C7" s="3">
        <v>45625</v>
      </c>
      <c r="D7" s="1" t="str">
        <f t="shared" si="0"/>
        <v>11-2024</v>
      </c>
      <c r="E7" s="3">
        <v>45625</v>
      </c>
      <c r="F7" s="3">
        <v>45639</v>
      </c>
      <c r="G7" t="s">
        <v>32</v>
      </c>
      <c r="H7">
        <v>0.27</v>
      </c>
      <c r="I7" t="s">
        <v>51</v>
      </c>
      <c r="J7">
        <f>INDEX('EBAY - Stock PX'!C:C,MATCH(D7,'EBAY - Stock PX'!B:B,0))</f>
        <v>63.29</v>
      </c>
    </row>
    <row r="8" spans="1:10" x14ac:dyDescent="0.2">
      <c r="A8" t="s">
        <v>53</v>
      </c>
      <c r="B8" s="3">
        <v>45504</v>
      </c>
      <c r="C8" s="3">
        <v>45534</v>
      </c>
      <c r="D8" s="1" t="str">
        <f t="shared" si="0"/>
        <v>8-2024</v>
      </c>
      <c r="E8" s="3">
        <v>45534</v>
      </c>
      <c r="F8" s="3">
        <v>45548</v>
      </c>
      <c r="G8" t="s">
        <v>32</v>
      </c>
      <c r="H8">
        <v>0.27</v>
      </c>
      <c r="I8" t="s">
        <v>51</v>
      </c>
      <c r="J8">
        <f>INDEX('EBAY - Stock PX'!C:C,MATCH(D8,'EBAY - Stock PX'!B:B,0))</f>
        <v>59.1</v>
      </c>
    </row>
    <row r="9" spans="1:10" x14ac:dyDescent="0.2">
      <c r="A9" t="s">
        <v>54</v>
      </c>
      <c r="B9" s="3">
        <v>45413</v>
      </c>
      <c r="C9" s="3">
        <v>45443</v>
      </c>
      <c r="D9" s="1" t="str">
        <f t="shared" si="0"/>
        <v>5-2024</v>
      </c>
      <c r="E9" s="3">
        <v>45443</v>
      </c>
      <c r="F9" s="3">
        <v>45457</v>
      </c>
      <c r="G9" t="s">
        <v>32</v>
      </c>
      <c r="H9">
        <v>0.27</v>
      </c>
      <c r="I9" t="s">
        <v>51</v>
      </c>
      <c r="J9">
        <f>INDEX('EBAY - Stock PX'!C:C,MATCH(D9,'EBAY - Stock PX'!B:B,0))</f>
        <v>54.22</v>
      </c>
    </row>
    <row r="10" spans="1:10" x14ac:dyDescent="0.2">
      <c r="A10" t="s">
        <v>55</v>
      </c>
      <c r="B10" s="3">
        <v>45349</v>
      </c>
      <c r="C10" s="3">
        <v>45359</v>
      </c>
      <c r="D10" s="1" t="str">
        <f t="shared" si="0"/>
        <v>3-2024</v>
      </c>
      <c r="E10" s="3">
        <v>45362</v>
      </c>
      <c r="F10" s="3">
        <v>45376</v>
      </c>
      <c r="G10" t="s">
        <v>32</v>
      </c>
      <c r="H10">
        <v>0.27</v>
      </c>
      <c r="I10" t="s">
        <v>51</v>
      </c>
      <c r="J10">
        <f>INDEX('EBAY - Stock PX'!C:C,MATCH(D10,'EBAY - Stock PX'!B:B,0))</f>
        <v>52.78</v>
      </c>
    </row>
    <row r="11" spans="1:10" x14ac:dyDescent="0.2">
      <c r="A11" t="s">
        <v>56</v>
      </c>
      <c r="B11" s="3">
        <v>45237</v>
      </c>
      <c r="C11" s="3">
        <v>45260</v>
      </c>
      <c r="D11" s="1" t="str">
        <f t="shared" si="0"/>
        <v>11-2023</v>
      </c>
      <c r="E11" s="3">
        <v>45261</v>
      </c>
      <c r="F11" s="3">
        <v>45275</v>
      </c>
      <c r="G11" t="s">
        <v>32</v>
      </c>
      <c r="H11">
        <v>0.25</v>
      </c>
      <c r="I11" t="s">
        <v>51</v>
      </c>
      <c r="J11">
        <f>INDEX('EBAY - Stock PX'!C:C,MATCH(D11,'EBAY - Stock PX'!B:B,0))</f>
        <v>41.01</v>
      </c>
    </row>
    <row r="12" spans="1:10" x14ac:dyDescent="0.2">
      <c r="A12" t="s">
        <v>57</v>
      </c>
      <c r="B12" s="3">
        <v>45133</v>
      </c>
      <c r="C12" s="3">
        <v>45169</v>
      </c>
      <c r="D12" s="1" t="str">
        <f t="shared" si="0"/>
        <v>8-2023</v>
      </c>
      <c r="E12" s="3">
        <v>45170</v>
      </c>
      <c r="F12" s="3">
        <v>45184</v>
      </c>
      <c r="G12" t="s">
        <v>32</v>
      </c>
      <c r="H12">
        <v>0.25</v>
      </c>
      <c r="I12" t="s">
        <v>51</v>
      </c>
      <c r="J12">
        <f>INDEX('EBAY - Stock PX'!C:C,MATCH(D12,'EBAY - Stock PX'!B:B,0))</f>
        <v>44.78</v>
      </c>
    </row>
    <row r="13" spans="1:10" x14ac:dyDescent="0.2">
      <c r="A13" t="s">
        <v>58</v>
      </c>
      <c r="B13" s="3">
        <v>45042</v>
      </c>
      <c r="C13" s="3">
        <v>45077</v>
      </c>
      <c r="D13" s="1" t="str">
        <f t="shared" si="0"/>
        <v>5-2023</v>
      </c>
      <c r="E13" s="3">
        <v>45078</v>
      </c>
      <c r="F13" s="3">
        <v>45093</v>
      </c>
      <c r="G13" t="s">
        <v>32</v>
      </c>
      <c r="H13">
        <v>0.25</v>
      </c>
      <c r="I13" t="s">
        <v>51</v>
      </c>
      <c r="J13">
        <f>INDEX('EBAY - Stock PX'!C:C,MATCH(D13,'EBAY - Stock PX'!B:B,0))</f>
        <v>42.54</v>
      </c>
    </row>
    <row r="14" spans="1:10" x14ac:dyDescent="0.2">
      <c r="A14" t="s">
        <v>59</v>
      </c>
      <c r="B14" s="3">
        <v>44979</v>
      </c>
      <c r="C14" s="3">
        <v>44994</v>
      </c>
      <c r="D14" s="1" t="str">
        <f t="shared" si="0"/>
        <v>3-2023</v>
      </c>
      <c r="E14" s="3">
        <v>44995</v>
      </c>
      <c r="F14" s="3">
        <v>45009</v>
      </c>
      <c r="G14" t="s">
        <v>32</v>
      </c>
      <c r="H14">
        <v>0.25</v>
      </c>
      <c r="I14" t="s">
        <v>51</v>
      </c>
      <c r="J14">
        <f>INDEX('EBAY - Stock PX'!C:C,MATCH(D14,'EBAY - Stock PX'!B:B,0))</f>
        <v>44.37</v>
      </c>
    </row>
    <row r="15" spans="1:10" x14ac:dyDescent="0.2">
      <c r="A15" t="s">
        <v>60</v>
      </c>
      <c r="B15" s="3">
        <v>44867</v>
      </c>
      <c r="C15" s="3">
        <v>44895</v>
      </c>
      <c r="D15" s="1" t="str">
        <f t="shared" si="0"/>
        <v>11-2022</v>
      </c>
      <c r="E15" s="3">
        <v>44896</v>
      </c>
      <c r="F15" s="3">
        <v>44911</v>
      </c>
      <c r="G15" t="s">
        <v>32</v>
      </c>
      <c r="H15">
        <v>0.22</v>
      </c>
      <c r="I15" t="s">
        <v>51</v>
      </c>
      <c r="J15">
        <f>INDEX('EBAY - Stock PX'!C:C,MATCH(D15,'EBAY - Stock PX'!B:B,0))</f>
        <v>45.44</v>
      </c>
    </row>
    <row r="16" spans="1:10" x14ac:dyDescent="0.2">
      <c r="A16" t="s">
        <v>61</v>
      </c>
      <c r="B16" s="3">
        <v>44776</v>
      </c>
      <c r="C16" s="3">
        <v>44804</v>
      </c>
      <c r="D16" s="1" t="str">
        <f t="shared" si="0"/>
        <v>8-2022</v>
      </c>
      <c r="E16" s="3">
        <v>44805</v>
      </c>
      <c r="F16" s="3">
        <v>44820</v>
      </c>
      <c r="G16" t="s">
        <v>32</v>
      </c>
      <c r="H16">
        <v>0.22</v>
      </c>
      <c r="I16" t="s">
        <v>51</v>
      </c>
      <c r="J16">
        <f>INDEX('EBAY - Stock PX'!C:C,MATCH(D16,'EBAY - Stock PX'!B:B,0))</f>
        <v>44.13</v>
      </c>
    </row>
    <row r="17" spans="1:10" x14ac:dyDescent="0.2">
      <c r="A17" t="s">
        <v>62</v>
      </c>
      <c r="B17" s="3">
        <v>44685</v>
      </c>
      <c r="C17" s="3">
        <v>44712</v>
      </c>
      <c r="D17" s="1" t="str">
        <f t="shared" si="0"/>
        <v>5-2022</v>
      </c>
      <c r="E17" s="3">
        <v>44713</v>
      </c>
      <c r="F17" s="3">
        <v>44729</v>
      </c>
      <c r="G17" t="s">
        <v>32</v>
      </c>
      <c r="H17">
        <v>0.22</v>
      </c>
      <c r="I17" t="s">
        <v>51</v>
      </c>
      <c r="J17">
        <f>INDEX('EBAY - Stock PX'!C:C,MATCH(D17,'EBAY - Stock PX'!B:B,0))</f>
        <v>48.67</v>
      </c>
    </row>
    <row r="18" spans="1:10" x14ac:dyDescent="0.2">
      <c r="A18" t="s">
        <v>63</v>
      </c>
      <c r="B18" s="3">
        <v>44615</v>
      </c>
      <c r="C18" s="3">
        <v>44629</v>
      </c>
      <c r="D18" s="1" t="str">
        <f t="shared" si="0"/>
        <v>3-2022</v>
      </c>
      <c r="E18" s="3">
        <v>44630</v>
      </c>
      <c r="F18" s="3">
        <v>44638</v>
      </c>
      <c r="G18" t="s">
        <v>32</v>
      </c>
      <c r="H18">
        <v>0.22</v>
      </c>
      <c r="I18" t="s">
        <v>51</v>
      </c>
      <c r="J18">
        <f>INDEX('EBAY - Stock PX'!C:C,MATCH(D18,'EBAY - Stock PX'!B:B,0))</f>
        <v>57.26</v>
      </c>
    </row>
    <row r="19" spans="1:10" x14ac:dyDescent="0.2">
      <c r="A19" t="s">
        <v>64</v>
      </c>
      <c r="B19" s="3">
        <v>44496</v>
      </c>
      <c r="C19" s="3">
        <v>44530</v>
      </c>
      <c r="D19" s="1" t="str">
        <f t="shared" si="0"/>
        <v>11-2021</v>
      </c>
      <c r="E19" s="3">
        <v>44531</v>
      </c>
      <c r="F19" s="3">
        <v>44547</v>
      </c>
      <c r="G19" t="s">
        <v>32</v>
      </c>
      <c r="H19">
        <v>0.18</v>
      </c>
      <c r="I19" t="s">
        <v>51</v>
      </c>
      <c r="J19">
        <f>INDEX('EBAY - Stock PX'!C:C,MATCH(D19,'EBAY - Stock PX'!B:B,0))</f>
        <v>67.459999999999994</v>
      </c>
    </row>
    <row r="20" spans="1:10" x14ac:dyDescent="0.2">
      <c r="A20" t="s">
        <v>65</v>
      </c>
      <c r="B20" s="3">
        <v>44419</v>
      </c>
      <c r="C20" s="3">
        <v>44439</v>
      </c>
      <c r="D20" s="1" t="str">
        <f t="shared" si="0"/>
        <v>8-2021</v>
      </c>
      <c r="E20" s="3">
        <v>44440</v>
      </c>
      <c r="F20" s="3">
        <v>44456</v>
      </c>
      <c r="G20" t="s">
        <v>32</v>
      </c>
      <c r="H20">
        <v>0.18</v>
      </c>
      <c r="I20" t="s">
        <v>51</v>
      </c>
      <c r="J20">
        <f>INDEX('EBAY - Stock PX'!C:C,MATCH(D20,'EBAY - Stock PX'!B:B,0))</f>
        <v>76.739999999999995</v>
      </c>
    </row>
    <row r="21" spans="1:10" x14ac:dyDescent="0.2">
      <c r="A21" t="s">
        <v>66</v>
      </c>
      <c r="B21" s="3">
        <v>44314</v>
      </c>
      <c r="C21" s="3">
        <v>44344</v>
      </c>
      <c r="D21" s="1" t="str">
        <f t="shared" si="0"/>
        <v>5-2021</v>
      </c>
      <c r="E21" s="3">
        <v>44348</v>
      </c>
      <c r="F21" s="3">
        <v>44365</v>
      </c>
      <c r="G21" t="s">
        <v>32</v>
      </c>
      <c r="H21">
        <v>0.18</v>
      </c>
      <c r="I21" t="s">
        <v>51</v>
      </c>
      <c r="J21">
        <f>INDEX('EBAY - Stock PX'!C:C,MATCH(D21,'EBAY - Stock PX'!B:B,0))</f>
        <v>60.88</v>
      </c>
    </row>
    <row r="22" spans="1:10" x14ac:dyDescent="0.2">
      <c r="A22" t="s">
        <v>67</v>
      </c>
      <c r="B22" s="3">
        <v>44230</v>
      </c>
      <c r="C22" s="3">
        <v>44253</v>
      </c>
      <c r="D22" s="1" t="str">
        <f t="shared" si="0"/>
        <v>2-2021</v>
      </c>
      <c r="E22" s="3">
        <v>44256</v>
      </c>
      <c r="F22" s="3">
        <v>44274</v>
      </c>
      <c r="G22" t="s">
        <v>32</v>
      </c>
      <c r="H22">
        <v>0.18</v>
      </c>
      <c r="I22" t="s">
        <v>51</v>
      </c>
      <c r="J22">
        <f>INDEX('EBAY - Stock PX'!C:C,MATCH(D22,'EBAY - Stock PX'!B:B,0))</f>
        <v>56.42</v>
      </c>
    </row>
    <row r="23" spans="1:10" x14ac:dyDescent="0.2">
      <c r="A23" t="s">
        <v>68</v>
      </c>
      <c r="B23" s="3">
        <v>44132</v>
      </c>
      <c r="C23" s="3">
        <v>44165</v>
      </c>
      <c r="D23" s="1" t="str">
        <f t="shared" si="0"/>
        <v>11-2020</v>
      </c>
      <c r="E23" s="3">
        <v>44166</v>
      </c>
      <c r="F23" s="3">
        <v>44183</v>
      </c>
      <c r="G23" t="s">
        <v>32</v>
      </c>
      <c r="H23">
        <v>0.16</v>
      </c>
      <c r="I23" t="s">
        <v>51</v>
      </c>
      <c r="J23">
        <f>INDEX('EBAY - Stock PX'!C:C,MATCH(D23,'EBAY - Stock PX'!B:B,0))</f>
        <v>50.43</v>
      </c>
    </row>
    <row r="24" spans="1:10" x14ac:dyDescent="0.2">
      <c r="A24" t="s">
        <v>73</v>
      </c>
      <c r="B24" s="3">
        <v>44040</v>
      </c>
      <c r="C24" s="3">
        <v>44074</v>
      </c>
      <c r="D24" s="1" t="str">
        <f t="shared" si="0"/>
        <v>8-2020</v>
      </c>
      <c r="E24" s="3">
        <v>44075</v>
      </c>
      <c r="F24" s="3">
        <v>44092</v>
      </c>
      <c r="G24" t="s">
        <v>32</v>
      </c>
      <c r="H24">
        <v>0.16</v>
      </c>
      <c r="I24" t="s">
        <v>51</v>
      </c>
      <c r="J24">
        <f>INDEX('EBAY - Stock PX'!C:C,MATCH(D24,'EBAY - Stock PX'!B:B,0))</f>
        <v>54.78</v>
      </c>
    </row>
    <row r="25" spans="1:10" x14ac:dyDescent="0.2">
      <c r="A25" t="s">
        <v>74</v>
      </c>
      <c r="B25" s="3">
        <v>43950</v>
      </c>
      <c r="C25" s="3">
        <v>43980</v>
      </c>
      <c r="D25" s="1" t="str">
        <f t="shared" si="0"/>
        <v>5-2020</v>
      </c>
      <c r="E25" s="3">
        <v>43983</v>
      </c>
      <c r="F25" s="3">
        <v>44001</v>
      </c>
      <c r="G25" t="s">
        <v>32</v>
      </c>
      <c r="H25">
        <v>0.16</v>
      </c>
      <c r="I25" t="s">
        <v>51</v>
      </c>
      <c r="J25">
        <f>INDEX('EBAY - Stock PX'!C:C,MATCH(D25,'EBAY - Stock PX'!B:B,0))</f>
        <v>45.54</v>
      </c>
    </row>
    <row r="26" spans="1:10" x14ac:dyDescent="0.2">
      <c r="H26">
        <f>AVERAGE(H6:H25)</f>
        <v>0.22250000000000009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4304-333D-4C9A-B7B3-860B50F0E10C}">
  <sheetPr>
    <tabColor theme="5" tint="0.79998168889431442"/>
  </sheetPr>
  <dimension ref="A1:G69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10.6640625" bestFit="1" customWidth="1"/>
    <col min="2" max="2" width="13.5" bestFit="1" customWidth="1"/>
    <col min="5" max="5" width="10.5" bestFit="1" customWidth="1"/>
    <col min="7" max="7" width="14.83203125" bestFit="1" customWidth="1"/>
    <col min="8" max="8" width="11" bestFit="1" customWidth="1"/>
  </cols>
  <sheetData>
    <row r="1" spans="1:7" x14ac:dyDescent="0.2">
      <c r="A1" t="s">
        <v>22</v>
      </c>
      <c r="B1" t="s">
        <v>79</v>
      </c>
    </row>
    <row r="2" spans="1:7" x14ac:dyDescent="0.2">
      <c r="A2" t="s">
        <v>27</v>
      </c>
      <c r="B2" s="2">
        <v>43553</v>
      </c>
    </row>
    <row r="3" spans="1:7" x14ac:dyDescent="0.2">
      <c r="A3" t="s">
        <v>28</v>
      </c>
      <c r="B3" s="2">
        <v>45747</v>
      </c>
    </row>
    <row r="4" spans="1:7" x14ac:dyDescent="0.2">
      <c r="A4" t="s">
        <v>29</v>
      </c>
      <c r="B4" t="s">
        <v>30</v>
      </c>
    </row>
    <row r="5" spans="1:7" x14ac:dyDescent="0.2">
      <c r="A5" t="s">
        <v>31</v>
      </c>
      <c r="B5" t="s">
        <v>32</v>
      </c>
    </row>
    <row r="7" spans="1:7" x14ac:dyDescent="0.2">
      <c r="A7" s="26" t="s">
        <v>33</v>
      </c>
      <c r="B7" s="27" t="s">
        <v>34</v>
      </c>
      <c r="C7" s="26" t="s">
        <v>35</v>
      </c>
      <c r="D7" s="26" t="s">
        <v>70</v>
      </c>
      <c r="E7" s="27" t="s">
        <v>80</v>
      </c>
      <c r="F7" s="29" t="s">
        <v>37</v>
      </c>
      <c r="G7" s="31" t="s">
        <v>472</v>
      </c>
    </row>
    <row r="8" spans="1:7" x14ac:dyDescent="0.2">
      <c r="A8" s="3">
        <v>45747</v>
      </c>
      <c r="B8" s="1" t="str">
        <f>_xlfn.CONCAT(MONTH(A8),"-",YEAR(A8))</f>
        <v>3-2025</v>
      </c>
      <c r="C8">
        <v>329.8</v>
      </c>
      <c r="D8">
        <f>IFERROR(INDEX('CAT - Dividends'!H:H,MATCH(B8,'CAT - Dividends'!D:D,0)),0)</f>
        <v>0</v>
      </c>
      <c r="E8" s="20">
        <f>((C8+D8)-(C9+D9))/(C8+D8)</f>
        <v>-4.2904790782292229E-2</v>
      </c>
      <c r="F8" s="20">
        <f>INDEX('10YR Treasury'!E:E,MATCH(B8,'10YR Treasury'!B:B,0))</f>
        <v>3.504416666666667E-3</v>
      </c>
      <c r="G8" s="30">
        <f t="shared" ref="G8:G39" si="0">E8-F8</f>
        <v>-4.6409207448958899E-2</v>
      </c>
    </row>
    <row r="9" spans="1:7" x14ac:dyDescent="0.2">
      <c r="A9" s="3">
        <v>45716</v>
      </c>
      <c r="B9" s="1" t="str">
        <f t="shared" ref="B9:B67" si="1">_xlfn.CONCAT(MONTH(A9),"-",YEAR(A9))</f>
        <v>2-2025</v>
      </c>
      <c r="C9">
        <v>343.95</v>
      </c>
      <c r="D9">
        <f>IFERROR(INDEX('CAT - Dividends'!H:H,MATCH(B9,'CAT - Dividends'!D:D,0)),0)</f>
        <v>0</v>
      </c>
      <c r="E9" s="20">
        <f t="shared" ref="E9:E66" si="2">((C9+D9)-(C10+D10))/(C9+D9)</f>
        <v>-8.402384067451675E-2</v>
      </c>
      <c r="F9" s="20">
        <f>INDEX('10YR Treasury'!E:E,MATCH(B9,'10YR Treasury'!B:B,0))</f>
        <v>3.5068333333333332E-3</v>
      </c>
      <c r="G9" s="30">
        <f t="shared" si="0"/>
        <v>-8.7530674007850084E-2</v>
      </c>
    </row>
    <row r="10" spans="1:7" x14ac:dyDescent="0.2">
      <c r="A10" s="3">
        <v>45688</v>
      </c>
      <c r="B10" s="1" t="str">
        <f t="shared" si="1"/>
        <v>1-2025</v>
      </c>
      <c r="C10">
        <v>371.44</v>
      </c>
      <c r="D10">
        <f>IFERROR(INDEX('CAT - Dividends'!H:H,MATCH(B10,'CAT - Dividends'!D:D,0)),0)</f>
        <v>1.41</v>
      </c>
      <c r="E10" s="20">
        <f t="shared" si="2"/>
        <v>2.7061821107684139E-2</v>
      </c>
      <c r="F10" s="20">
        <f>INDEX('10YR Treasury'!E:E,MATCH(B10,'10YR Treasury'!B:B,0))</f>
        <v>3.7822500000000005E-3</v>
      </c>
      <c r="G10" s="30">
        <f t="shared" si="0"/>
        <v>2.3279571107684138E-2</v>
      </c>
    </row>
    <row r="11" spans="1:7" x14ac:dyDescent="0.2">
      <c r="A11" s="3">
        <v>45657</v>
      </c>
      <c r="B11" s="1" t="str">
        <f t="shared" si="1"/>
        <v>12-2024</v>
      </c>
      <c r="C11">
        <v>362.76</v>
      </c>
      <c r="D11">
        <f>IFERROR(INDEX('CAT - Dividends'!H:H,MATCH(B11,'CAT - Dividends'!D:D,0)),0)</f>
        <v>0</v>
      </c>
      <c r="E11" s="20">
        <f t="shared" si="2"/>
        <v>-0.11950049619583201</v>
      </c>
      <c r="F11" s="20">
        <f>INDEX('10YR Treasury'!E:E,MATCH(B11,'10YR Treasury'!B:B,0))</f>
        <v>3.8075000000000001E-3</v>
      </c>
      <c r="G11" s="30">
        <f t="shared" si="0"/>
        <v>-0.12330799619583202</v>
      </c>
    </row>
    <row r="12" spans="1:7" x14ac:dyDescent="0.2">
      <c r="A12" s="3">
        <v>45625</v>
      </c>
      <c r="B12" s="1" t="str">
        <f t="shared" si="1"/>
        <v>11-2024</v>
      </c>
      <c r="C12">
        <v>406.11</v>
      </c>
      <c r="D12">
        <f>IFERROR(INDEX('CAT - Dividends'!H:H,MATCH(B12,'CAT - Dividends'!D:D,0)),0)</f>
        <v>0</v>
      </c>
      <c r="E12" s="20">
        <f t="shared" si="2"/>
        <v>7.0178030582847009E-2</v>
      </c>
      <c r="F12" s="20">
        <f>INDEX('10YR Treasury'!E:E,MATCH(B12,'10YR Treasury'!B:B,0))</f>
        <v>3.4737499999999998E-3</v>
      </c>
      <c r="G12" s="30">
        <f t="shared" si="0"/>
        <v>6.6704280582847011E-2</v>
      </c>
    </row>
    <row r="13" spans="1:7" x14ac:dyDescent="0.2">
      <c r="A13" s="3">
        <v>45596</v>
      </c>
      <c r="B13" s="1" t="str">
        <f t="shared" si="1"/>
        <v>10-2024</v>
      </c>
      <c r="C13">
        <v>376.2</v>
      </c>
      <c r="D13">
        <f>IFERROR(INDEX('CAT - Dividends'!H:H,MATCH(B13,'CAT - Dividends'!D:D,0)),0)</f>
        <v>1.41</v>
      </c>
      <c r="E13" s="20">
        <f t="shared" si="2"/>
        <v>-3.5777654193480023E-2</v>
      </c>
      <c r="F13" s="20">
        <f>INDEX('10YR Treasury'!E:E,MATCH(B13,'10YR Treasury'!B:B,0))</f>
        <v>3.5703333333333333E-3</v>
      </c>
      <c r="G13" s="30">
        <f t="shared" si="0"/>
        <v>-3.9347987526813358E-2</v>
      </c>
    </row>
    <row r="14" spans="1:7" x14ac:dyDescent="0.2">
      <c r="A14" s="3">
        <v>45565</v>
      </c>
      <c r="B14" s="1" t="str">
        <f t="shared" si="1"/>
        <v>9-2024</v>
      </c>
      <c r="C14">
        <v>391.12</v>
      </c>
      <c r="D14">
        <f>IFERROR(INDEX('CAT - Dividends'!H:H,MATCH(B14,'CAT - Dividends'!D:D,0)),0)</f>
        <v>0</v>
      </c>
      <c r="E14" s="20">
        <f t="shared" si="2"/>
        <v>8.9537737778686802E-2</v>
      </c>
      <c r="F14" s="20">
        <f>INDEX('10YR Treasury'!E:E,MATCH(B14,'10YR Treasury'!B:B,0))</f>
        <v>3.1507499999999999E-3</v>
      </c>
      <c r="G14" s="30">
        <f t="shared" si="0"/>
        <v>8.6386987778686808E-2</v>
      </c>
    </row>
    <row r="15" spans="1:7" x14ac:dyDescent="0.2">
      <c r="A15" s="3">
        <v>45534</v>
      </c>
      <c r="B15" s="1" t="str">
        <f t="shared" si="1"/>
        <v>8-2024</v>
      </c>
      <c r="C15">
        <v>356.1</v>
      </c>
      <c r="D15">
        <f>IFERROR(INDEX('CAT - Dividends'!H:H,MATCH(B15,'CAT - Dividends'!D:D,0)),0)</f>
        <v>0</v>
      </c>
      <c r="E15" s="20">
        <f t="shared" si="2"/>
        <v>2.3841617523167675E-2</v>
      </c>
      <c r="F15" s="20">
        <f>INDEX('10YR Treasury'!E:E,MATCH(B15,'10YR Treasury'!B:B,0))</f>
        <v>3.2528333333333333E-3</v>
      </c>
      <c r="G15" s="30">
        <f t="shared" si="0"/>
        <v>2.0588784189834342E-2</v>
      </c>
    </row>
    <row r="16" spans="1:7" x14ac:dyDescent="0.2">
      <c r="A16" s="3">
        <v>45504</v>
      </c>
      <c r="B16" s="1" t="str">
        <f t="shared" si="1"/>
        <v>7-2024</v>
      </c>
      <c r="C16">
        <v>346.2</v>
      </c>
      <c r="D16">
        <f>IFERROR(INDEX('CAT - Dividends'!H:H,MATCH(B16,'CAT - Dividends'!D:D,0)),0)</f>
        <v>1.41</v>
      </c>
      <c r="E16" s="20">
        <f t="shared" si="2"/>
        <v>4.1742182330772967E-2</v>
      </c>
      <c r="F16" s="20">
        <f>INDEX('10YR Treasury'!E:E,MATCH(B16,'10YR Treasury'!B:B,0))</f>
        <v>3.3580000000000003E-3</v>
      </c>
      <c r="G16" s="30">
        <f t="shared" si="0"/>
        <v>3.8384182330772967E-2</v>
      </c>
    </row>
    <row r="17" spans="1:7" x14ac:dyDescent="0.2">
      <c r="A17" s="3">
        <v>45471</v>
      </c>
      <c r="B17" s="1" t="str">
        <f t="shared" si="1"/>
        <v>6-2024</v>
      </c>
      <c r="C17">
        <v>333.1</v>
      </c>
      <c r="D17">
        <f>IFERROR(INDEX('CAT - Dividends'!H:H,MATCH(B17,'CAT - Dividends'!D:D,0)),0)</f>
        <v>0</v>
      </c>
      <c r="E17" s="20">
        <f t="shared" si="2"/>
        <v>-1.6271389972980964E-2</v>
      </c>
      <c r="F17" s="20">
        <f>INDEX('10YR Treasury'!E:E,MATCH(B17,'10YR Treasury'!B:B,0))</f>
        <v>3.6634166666666664E-3</v>
      </c>
      <c r="G17" s="30">
        <f t="shared" si="0"/>
        <v>-1.9934806639647629E-2</v>
      </c>
    </row>
    <row r="18" spans="1:7" x14ac:dyDescent="0.2">
      <c r="A18" s="3">
        <v>45443</v>
      </c>
      <c r="B18" s="1" t="str">
        <f t="shared" si="1"/>
        <v>5-2024</v>
      </c>
      <c r="C18">
        <v>338.52</v>
      </c>
      <c r="D18">
        <f>IFERROR(INDEX('CAT - Dividends'!H:H,MATCH(B18,'CAT - Dividends'!D:D,0)),0)</f>
        <v>0</v>
      </c>
      <c r="E18" s="20">
        <f t="shared" si="2"/>
        <v>7.8281933120642137E-3</v>
      </c>
      <c r="F18" s="20">
        <f>INDEX('10YR Treasury'!E:E,MATCH(B18,'10YR Treasury'!B:B,0))</f>
        <v>3.7487499999999999E-3</v>
      </c>
      <c r="G18" s="30">
        <f t="shared" si="0"/>
        <v>4.0794433120642133E-3</v>
      </c>
    </row>
    <row r="19" spans="1:7" x14ac:dyDescent="0.2">
      <c r="A19" s="3">
        <v>45412</v>
      </c>
      <c r="B19" s="1" t="str">
        <f t="shared" si="1"/>
        <v>4-2024</v>
      </c>
      <c r="C19">
        <v>334.57</v>
      </c>
      <c r="D19">
        <f>IFERROR(INDEX('CAT - Dividends'!H:H,MATCH(B19,'CAT - Dividends'!D:D,0)),0)</f>
        <v>1.3</v>
      </c>
      <c r="E19" s="20">
        <f t="shared" si="2"/>
        <v>-9.0987584482091294E-2</v>
      </c>
      <c r="F19" s="20">
        <f>INDEX('10YR Treasury'!E:E,MATCH(B19,'10YR Treasury'!B:B,0))</f>
        <v>3.8998333333333333E-3</v>
      </c>
      <c r="G19" s="30">
        <f t="shared" si="0"/>
        <v>-9.4887417815424632E-2</v>
      </c>
    </row>
    <row r="20" spans="1:7" x14ac:dyDescent="0.2">
      <c r="A20" s="3">
        <v>45379</v>
      </c>
      <c r="B20" s="1" t="str">
        <f t="shared" si="1"/>
        <v>3-2024</v>
      </c>
      <c r="C20">
        <v>366.43</v>
      </c>
      <c r="D20">
        <f>IFERROR(INDEX('CAT - Dividends'!H:H,MATCH(B20,'CAT - Dividends'!D:D,0)),0)</f>
        <v>0</v>
      </c>
      <c r="E20" s="20">
        <f t="shared" si="2"/>
        <v>8.8611740305106101E-2</v>
      </c>
      <c r="F20" s="20">
        <f>INDEX('10YR Treasury'!E:E,MATCH(B20,'10YR Treasury'!B:B,0))</f>
        <v>3.5002500000000003E-3</v>
      </c>
      <c r="G20" s="30">
        <f t="shared" si="0"/>
        <v>8.5111490305106105E-2</v>
      </c>
    </row>
    <row r="21" spans="1:7" x14ac:dyDescent="0.2">
      <c r="A21" s="3">
        <v>45351</v>
      </c>
      <c r="B21" s="1" t="str">
        <f t="shared" si="1"/>
        <v>2-2024</v>
      </c>
      <c r="C21">
        <v>333.96</v>
      </c>
      <c r="D21">
        <f>IFERROR(INDEX('CAT - Dividends'!H:H,MATCH(B21,'CAT - Dividends'!D:D,0)),0)</f>
        <v>0</v>
      </c>
      <c r="E21" s="20">
        <f t="shared" si="2"/>
        <v>9.6867888369864555E-2</v>
      </c>
      <c r="F21" s="20">
        <f>INDEX('10YR Treasury'!E:E,MATCH(B21,'10YR Treasury'!B:B,0))</f>
        <v>3.5418333333333339E-3</v>
      </c>
      <c r="G21" s="30">
        <f t="shared" si="0"/>
        <v>9.3326055036531227E-2</v>
      </c>
    </row>
    <row r="22" spans="1:7" x14ac:dyDescent="0.2">
      <c r="A22" s="3">
        <v>45322</v>
      </c>
      <c r="B22" s="1" t="str">
        <f t="shared" si="1"/>
        <v>1-2024</v>
      </c>
      <c r="C22">
        <v>300.31</v>
      </c>
      <c r="D22">
        <f>IFERROR(INDEX('CAT - Dividends'!H:H,MATCH(B22,'CAT - Dividends'!D:D,0)),0)</f>
        <v>1.3</v>
      </c>
      <c r="E22" s="20">
        <f t="shared" si="2"/>
        <v>1.9694307217930432E-2</v>
      </c>
      <c r="F22" s="20">
        <f>INDEX('10YR Treasury'!E:E,MATCH(B22,'10YR Treasury'!B:B,0))</f>
        <v>3.2603333333333334E-3</v>
      </c>
      <c r="G22" s="30">
        <f t="shared" si="0"/>
        <v>1.6433973884597098E-2</v>
      </c>
    </row>
    <row r="23" spans="1:7" x14ac:dyDescent="0.2">
      <c r="A23" s="3">
        <v>45289</v>
      </c>
      <c r="B23" s="1" t="str">
        <f t="shared" si="1"/>
        <v>12-2023</v>
      </c>
      <c r="C23">
        <v>295.67</v>
      </c>
      <c r="D23">
        <f>IFERROR(INDEX('CAT - Dividends'!H:H,MATCH(B23,'CAT - Dividends'!D:D,0)),0)</f>
        <v>0</v>
      </c>
      <c r="E23" s="20">
        <f t="shared" si="2"/>
        <v>0.15202759833598273</v>
      </c>
      <c r="F23" s="20">
        <f>INDEX('10YR Treasury'!E:E,MATCH(B23,'10YR Treasury'!B:B,0))</f>
        <v>3.2325833333333334E-3</v>
      </c>
      <c r="G23" s="30">
        <f t="shared" si="0"/>
        <v>0.14879501500264938</v>
      </c>
    </row>
    <row r="24" spans="1:7" x14ac:dyDescent="0.2">
      <c r="A24" s="3">
        <v>45260</v>
      </c>
      <c r="B24" s="1" t="str">
        <f t="shared" si="1"/>
        <v>11-2023</v>
      </c>
      <c r="C24">
        <v>250.72</v>
      </c>
      <c r="D24">
        <f>IFERROR(INDEX('CAT - Dividends'!H:H,MATCH(B24,'CAT - Dividends'!D:D,0)),0)</f>
        <v>0</v>
      </c>
      <c r="E24" s="20">
        <f t="shared" si="2"/>
        <v>9.3211550733886317E-2</v>
      </c>
      <c r="F24" s="20">
        <f>INDEX('10YR Treasury'!E:E,MATCH(B24,'10YR Treasury'!B:B,0))</f>
        <v>3.6053333333333328E-3</v>
      </c>
      <c r="G24" s="30">
        <f t="shared" si="0"/>
        <v>8.9606217400552982E-2</v>
      </c>
    </row>
    <row r="25" spans="1:7" x14ac:dyDescent="0.2">
      <c r="A25" s="3">
        <v>45230</v>
      </c>
      <c r="B25" s="1" t="str">
        <f t="shared" si="1"/>
        <v>10-2023</v>
      </c>
      <c r="C25">
        <v>226.05</v>
      </c>
      <c r="D25">
        <f>IFERROR(INDEX('CAT - Dividends'!H:H,MATCH(B25,'CAT - Dividends'!D:D,0)),0)</f>
        <v>1.3</v>
      </c>
      <c r="E25" s="20">
        <f t="shared" si="2"/>
        <v>-0.20079173081152396</v>
      </c>
      <c r="F25" s="20">
        <f>INDEX('10YR Treasury'!E:E,MATCH(B25,'10YR Treasury'!B:B,0))</f>
        <v>4.108916666666667E-3</v>
      </c>
      <c r="G25" s="30">
        <f t="shared" si="0"/>
        <v>-0.20490064747819062</v>
      </c>
    </row>
    <row r="26" spans="1:7" x14ac:dyDescent="0.2">
      <c r="A26" s="3">
        <v>45198</v>
      </c>
      <c r="B26" s="1" t="str">
        <f t="shared" si="1"/>
        <v>9-2023</v>
      </c>
      <c r="C26">
        <v>273</v>
      </c>
      <c r="D26">
        <f>IFERROR(INDEX('CAT - Dividends'!H:H,MATCH(B26,'CAT - Dividends'!D:D,0)),0)</f>
        <v>0</v>
      </c>
      <c r="E26" s="20">
        <f t="shared" si="2"/>
        <v>-2.9780219780219764E-2</v>
      </c>
      <c r="F26" s="20">
        <f>INDEX('10YR Treasury'!E:E,MATCH(B26,'10YR Treasury'!B:B,0))</f>
        <v>3.8092500000000001E-3</v>
      </c>
      <c r="G26" s="30">
        <f t="shared" si="0"/>
        <v>-3.3589469780219761E-2</v>
      </c>
    </row>
    <row r="27" spans="1:7" x14ac:dyDescent="0.2">
      <c r="A27" s="3">
        <v>45169</v>
      </c>
      <c r="B27" s="1" t="str">
        <f t="shared" si="1"/>
        <v>8-2023</v>
      </c>
      <c r="C27">
        <v>281.13</v>
      </c>
      <c r="D27">
        <f>IFERROR(INDEX('CAT - Dividends'!H:H,MATCH(B27,'CAT - Dividends'!D:D,0)),0)</f>
        <v>0</v>
      </c>
      <c r="E27" s="20">
        <f t="shared" si="2"/>
        <v>5.2146693700423179E-2</v>
      </c>
      <c r="F27" s="20">
        <f>INDEX('10YR Treasury'!E:E,MATCH(B27,'10YR Treasury'!B:B,0))</f>
        <v>3.4234166666666671E-3</v>
      </c>
      <c r="G27" s="30">
        <f t="shared" si="0"/>
        <v>4.8723277033756514E-2</v>
      </c>
    </row>
    <row r="28" spans="1:7" x14ac:dyDescent="0.2">
      <c r="A28" s="3">
        <v>45138</v>
      </c>
      <c r="B28" s="1" t="str">
        <f t="shared" si="1"/>
        <v>7-2023</v>
      </c>
      <c r="C28">
        <v>265.17</v>
      </c>
      <c r="D28">
        <f>IFERROR(INDEX('CAT - Dividends'!H:H,MATCH(B28,'CAT - Dividends'!D:D,0)),0)</f>
        <v>1.3</v>
      </c>
      <c r="E28" s="20">
        <f t="shared" si="2"/>
        <v>7.6631515742860409E-2</v>
      </c>
      <c r="F28" s="20">
        <f>INDEX('10YR Treasury'!E:E,MATCH(B28,'10YR Treasury'!B:B,0))</f>
        <v>3.2990000000000003E-3</v>
      </c>
      <c r="G28" s="30">
        <f t="shared" si="0"/>
        <v>7.3332515742860413E-2</v>
      </c>
    </row>
    <row r="29" spans="1:7" x14ac:dyDescent="0.2">
      <c r="A29" s="3">
        <v>45107</v>
      </c>
      <c r="B29" s="1" t="str">
        <f t="shared" si="1"/>
        <v>6-2023</v>
      </c>
      <c r="C29">
        <v>246.05</v>
      </c>
      <c r="D29">
        <f>IFERROR(INDEX('CAT - Dividends'!H:H,MATCH(B29,'CAT - Dividends'!D:D,0)),0)</f>
        <v>0</v>
      </c>
      <c r="E29" s="20">
        <f t="shared" si="2"/>
        <v>0.16378784799837434</v>
      </c>
      <c r="F29" s="20">
        <f>INDEX('10YR Treasury'!E:E,MATCH(B29,'10YR Treasury'!B:B,0))</f>
        <v>3.19725E-3</v>
      </c>
      <c r="G29" s="30">
        <f t="shared" si="0"/>
        <v>0.16059059799837433</v>
      </c>
    </row>
    <row r="30" spans="1:7" x14ac:dyDescent="0.2">
      <c r="A30" s="3">
        <v>45077</v>
      </c>
      <c r="B30" s="1" t="str">
        <f t="shared" si="1"/>
        <v>5-2023</v>
      </c>
      <c r="C30">
        <v>205.75</v>
      </c>
      <c r="D30">
        <f>IFERROR(INDEX('CAT - Dividends'!H:H,MATCH(B30,'CAT - Dividends'!D:D,0)),0)</f>
        <v>0</v>
      </c>
      <c r="E30" s="20">
        <f t="shared" si="2"/>
        <v>-6.9258809234507904E-2</v>
      </c>
      <c r="F30" s="20">
        <f>INDEX('10YR Treasury'!E:E,MATCH(B30,'10YR Treasury'!B:B,0))</f>
        <v>3.0355E-3</v>
      </c>
      <c r="G30" s="30">
        <f t="shared" si="0"/>
        <v>-7.22943092345079E-2</v>
      </c>
    </row>
    <row r="31" spans="1:7" x14ac:dyDescent="0.2">
      <c r="A31" s="3">
        <v>45044</v>
      </c>
      <c r="B31" s="1" t="str">
        <f t="shared" si="1"/>
        <v>4-2023</v>
      </c>
      <c r="C31">
        <v>218.8</v>
      </c>
      <c r="D31">
        <f>IFERROR(INDEX('CAT - Dividends'!H:H,MATCH(B31,'CAT - Dividends'!D:D,0)),0)</f>
        <v>1.2</v>
      </c>
      <c r="E31" s="20">
        <f t="shared" si="2"/>
        <v>-4.01818181818182E-2</v>
      </c>
      <c r="F31" s="20">
        <f>INDEX('10YR Treasury'!E:E,MATCH(B31,'10YR Treasury'!B:B,0))</f>
        <v>2.8516666666666668E-3</v>
      </c>
      <c r="G31" s="30">
        <f t="shared" si="0"/>
        <v>-4.3033484848484869E-2</v>
      </c>
    </row>
    <row r="32" spans="1:7" x14ac:dyDescent="0.2">
      <c r="A32" s="3">
        <v>45016</v>
      </c>
      <c r="B32" s="1" t="str">
        <f t="shared" si="1"/>
        <v>3-2023</v>
      </c>
      <c r="C32">
        <v>228.84</v>
      </c>
      <c r="D32">
        <f>IFERROR(INDEX('CAT - Dividends'!H:H,MATCH(B32,'CAT - Dividends'!D:D,0)),0)</f>
        <v>0</v>
      </c>
      <c r="E32" s="20">
        <f t="shared" si="2"/>
        <v>-4.6801258521237579E-2</v>
      </c>
      <c r="F32" s="20">
        <f>INDEX('10YR Treasury'!E:E,MATCH(B32,'10YR Treasury'!B:B,0))</f>
        <v>2.8896666666666667E-3</v>
      </c>
      <c r="G32" s="30">
        <f t="shared" si="0"/>
        <v>-4.9690925187904245E-2</v>
      </c>
    </row>
    <row r="33" spans="1:7" x14ac:dyDescent="0.2">
      <c r="A33" s="3">
        <v>44985</v>
      </c>
      <c r="B33" s="1" t="str">
        <f t="shared" si="1"/>
        <v>2-2023</v>
      </c>
      <c r="C33">
        <v>239.55</v>
      </c>
      <c r="D33">
        <f>IFERROR(INDEX('CAT - Dividends'!H:H,MATCH(B33,'CAT - Dividends'!D:D,0)),0)</f>
        <v>0</v>
      </c>
      <c r="E33" s="20">
        <f t="shared" si="2"/>
        <v>-5.8192444166144726E-2</v>
      </c>
      <c r="F33" s="20">
        <f>INDEX('10YR Treasury'!E:E,MATCH(B33,'10YR Treasury'!B:B,0))</f>
        <v>3.2666666666666664E-3</v>
      </c>
      <c r="G33" s="30">
        <f t="shared" si="0"/>
        <v>-6.1459110832811394E-2</v>
      </c>
    </row>
    <row r="34" spans="1:7" x14ac:dyDescent="0.2">
      <c r="A34" s="3">
        <v>44957</v>
      </c>
      <c r="B34" s="1" t="str">
        <f t="shared" si="1"/>
        <v>1-2023</v>
      </c>
      <c r="C34">
        <v>252.29</v>
      </c>
      <c r="D34">
        <f>IFERROR(INDEX('CAT - Dividends'!H:H,MATCH(B34,'CAT - Dividends'!D:D,0)),0)</f>
        <v>1.2</v>
      </c>
      <c r="E34" s="20">
        <f t="shared" si="2"/>
        <v>5.4952858100911196E-2</v>
      </c>
      <c r="F34" s="20">
        <f>INDEX('10YR Treasury'!E:E,MATCH(B34,'10YR Treasury'!B:B,0))</f>
        <v>2.9224166666666665E-3</v>
      </c>
      <c r="G34" s="30">
        <f t="shared" si="0"/>
        <v>5.2030441434244533E-2</v>
      </c>
    </row>
    <row r="35" spans="1:7" x14ac:dyDescent="0.2">
      <c r="A35" s="3">
        <v>44925</v>
      </c>
      <c r="B35" s="1" t="str">
        <f t="shared" si="1"/>
        <v>12-2022</v>
      </c>
      <c r="C35">
        <v>239.56</v>
      </c>
      <c r="D35">
        <f>IFERROR(INDEX('CAT - Dividends'!H:H,MATCH(B35,'CAT - Dividends'!D:D,0)),0)</f>
        <v>0</v>
      </c>
      <c r="E35" s="20">
        <f t="shared" si="2"/>
        <v>1.3149106695608639E-2</v>
      </c>
      <c r="F35" s="20">
        <f>INDEX('10YR Treasury'!E:E,MATCH(B35,'10YR Treasury'!B:B,0))</f>
        <v>3.2290000000000001E-3</v>
      </c>
      <c r="G35" s="30">
        <f t="shared" si="0"/>
        <v>9.9201066956086381E-3</v>
      </c>
    </row>
    <row r="36" spans="1:7" x14ac:dyDescent="0.2">
      <c r="A36" s="3">
        <v>44895</v>
      </c>
      <c r="B36" s="1" t="str">
        <f t="shared" si="1"/>
        <v>11-2022</v>
      </c>
      <c r="C36">
        <v>236.41</v>
      </c>
      <c r="D36">
        <f>IFERROR(INDEX('CAT - Dividends'!H:H,MATCH(B36,'CAT - Dividends'!D:D,0)),0)</f>
        <v>0</v>
      </c>
      <c r="E36" s="20">
        <f t="shared" si="2"/>
        <v>7.9311365847468382E-2</v>
      </c>
      <c r="F36" s="20">
        <f>INDEX('10YR Treasury'!E:E,MATCH(B36,'10YR Treasury'!B:B,0))</f>
        <v>3.0044999999999998E-3</v>
      </c>
      <c r="G36" s="30">
        <f t="shared" si="0"/>
        <v>7.6306865847468389E-2</v>
      </c>
    </row>
    <row r="37" spans="1:7" x14ac:dyDescent="0.2">
      <c r="A37" s="3">
        <v>44865</v>
      </c>
      <c r="B37" s="1" t="str">
        <f t="shared" si="1"/>
        <v>10-2022</v>
      </c>
      <c r="C37">
        <v>216.46</v>
      </c>
      <c r="D37">
        <f>IFERROR(INDEX('CAT - Dividends'!H:H,MATCH(B37,'CAT - Dividends'!D:D,0)),0)</f>
        <v>1.2</v>
      </c>
      <c r="E37" s="20">
        <f t="shared" si="2"/>
        <v>0.24616374161536334</v>
      </c>
      <c r="F37" s="20">
        <f>INDEX('10YR Treasury'!E:E,MATCH(B37,'10YR Treasury'!B:B,0))</f>
        <v>3.3731666666666662E-3</v>
      </c>
      <c r="G37" s="30">
        <f t="shared" si="0"/>
        <v>0.24279057494869666</v>
      </c>
    </row>
    <row r="38" spans="1:7" x14ac:dyDescent="0.2">
      <c r="A38" s="3">
        <v>44834</v>
      </c>
      <c r="B38" s="1" t="str">
        <f t="shared" si="1"/>
        <v>9-2022</v>
      </c>
      <c r="C38">
        <v>164.08</v>
      </c>
      <c r="D38">
        <f>IFERROR(INDEX('CAT - Dividends'!H:H,MATCH(B38,'CAT - Dividends'!D:D,0)),0)</f>
        <v>0</v>
      </c>
      <c r="E38" s="20">
        <f t="shared" si="2"/>
        <v>-0.12573135056070206</v>
      </c>
      <c r="F38" s="20">
        <f>INDEX('10YR Treasury'!E:E,MATCH(B38,'10YR Treasury'!B:B,0))</f>
        <v>3.1904999999999998E-3</v>
      </c>
      <c r="G38" s="30">
        <f t="shared" si="0"/>
        <v>-0.12892185056070207</v>
      </c>
    </row>
    <row r="39" spans="1:7" x14ac:dyDescent="0.2">
      <c r="A39" s="3">
        <v>44804</v>
      </c>
      <c r="B39" s="1" t="str">
        <f t="shared" si="1"/>
        <v>8-2022</v>
      </c>
      <c r="C39">
        <v>184.71</v>
      </c>
      <c r="D39">
        <f>IFERROR(INDEX('CAT - Dividends'!H:H,MATCH(B39,'CAT - Dividends'!D:D,0)),0)</f>
        <v>0</v>
      </c>
      <c r="E39" s="20">
        <f t="shared" si="2"/>
        <v>-7.9800768772670561E-2</v>
      </c>
      <c r="F39" s="20">
        <f>INDEX('10YR Treasury'!E:E,MATCH(B39,'10YR Treasury'!B:B,0))</f>
        <v>2.6605000000000001E-3</v>
      </c>
      <c r="G39" s="30">
        <f t="shared" si="0"/>
        <v>-8.2461268772670557E-2</v>
      </c>
    </row>
    <row r="40" spans="1:7" x14ac:dyDescent="0.2">
      <c r="A40" s="3">
        <v>44771</v>
      </c>
      <c r="B40" s="1" t="str">
        <f t="shared" si="1"/>
        <v>7-2022</v>
      </c>
      <c r="C40">
        <v>198.25</v>
      </c>
      <c r="D40">
        <f>IFERROR(INDEX('CAT - Dividends'!H:H,MATCH(B40,'CAT - Dividends'!D:D,0)),0)</f>
        <v>1.2</v>
      </c>
      <c r="E40" s="20">
        <f t="shared" si="2"/>
        <v>0.10373527199799448</v>
      </c>
      <c r="F40" s="20">
        <f>INDEX('10YR Treasury'!E:E,MATCH(B40,'10YR Treasury'!B:B,0))</f>
        <v>2.20725E-3</v>
      </c>
      <c r="G40" s="30">
        <f t="shared" ref="G40:G66" si="3">E40-F40</f>
        <v>0.10152802199799449</v>
      </c>
    </row>
    <row r="41" spans="1:7" x14ac:dyDescent="0.2">
      <c r="A41" s="3">
        <v>44742</v>
      </c>
      <c r="B41" s="1" t="str">
        <f t="shared" si="1"/>
        <v>6-2022</v>
      </c>
      <c r="C41">
        <v>178.76</v>
      </c>
      <c r="D41">
        <f>IFERROR(INDEX('CAT - Dividends'!H:H,MATCH(B41,'CAT - Dividends'!D:D,0)),0)</f>
        <v>0</v>
      </c>
      <c r="E41" s="20">
        <f t="shared" si="2"/>
        <v>-0.20748489594987696</v>
      </c>
      <c r="F41" s="20">
        <f>INDEX('10YR Treasury'!E:E,MATCH(B41,'10YR Treasury'!B:B,0))</f>
        <v>2.51075E-3</v>
      </c>
      <c r="G41" s="30">
        <f t="shared" si="3"/>
        <v>-0.20999564594987696</v>
      </c>
    </row>
    <row r="42" spans="1:7" x14ac:dyDescent="0.2">
      <c r="A42" s="3">
        <v>44712</v>
      </c>
      <c r="B42" s="1" t="str">
        <f t="shared" si="1"/>
        <v>5-2022</v>
      </c>
      <c r="C42">
        <v>215.85</v>
      </c>
      <c r="D42">
        <f>IFERROR(INDEX('CAT - Dividends'!H:H,MATCH(B42,'CAT - Dividends'!D:D,0)),0)</f>
        <v>0</v>
      </c>
      <c r="E42" s="20">
        <f t="shared" si="2"/>
        <v>1.9457956914523924E-2</v>
      </c>
      <c r="F42" s="20">
        <f>INDEX('10YR Treasury'!E:E,MATCH(B42,'10YR Treasury'!B:B,0))</f>
        <v>2.3700833333333334E-3</v>
      </c>
      <c r="G42" s="30">
        <f t="shared" si="3"/>
        <v>1.7087873581190592E-2</v>
      </c>
    </row>
    <row r="43" spans="1:7" x14ac:dyDescent="0.2">
      <c r="A43" s="3">
        <v>44680</v>
      </c>
      <c r="B43" s="1" t="str">
        <f t="shared" si="1"/>
        <v>4-2022</v>
      </c>
      <c r="C43">
        <v>210.54</v>
      </c>
      <c r="D43">
        <f>IFERROR(INDEX('CAT - Dividends'!H:H,MATCH(B43,'CAT - Dividends'!D:D,0)),0)</f>
        <v>1.1100000000000001</v>
      </c>
      <c r="E43" s="20">
        <f t="shared" si="2"/>
        <v>-5.277580911882819E-2</v>
      </c>
      <c r="F43" s="20">
        <f>INDEX('10YR Treasury'!E:E,MATCH(B43,'10YR Treasury'!B:B,0))</f>
        <v>2.444666666666667E-3</v>
      </c>
      <c r="G43" s="30">
        <f t="shared" si="3"/>
        <v>-5.5220475785494855E-2</v>
      </c>
    </row>
    <row r="44" spans="1:7" x14ac:dyDescent="0.2">
      <c r="A44" s="3">
        <v>44651</v>
      </c>
      <c r="B44" s="1" t="str">
        <f t="shared" si="1"/>
        <v>3-2022</v>
      </c>
      <c r="C44">
        <v>222.82</v>
      </c>
      <c r="D44">
        <f>IFERROR(INDEX('CAT - Dividends'!H:H,MATCH(B44,'CAT - Dividends'!D:D,0)),0)</f>
        <v>0</v>
      </c>
      <c r="E44" s="20">
        <f t="shared" si="2"/>
        <v>0.15815456422224208</v>
      </c>
      <c r="F44" s="20">
        <f>INDEX('10YR Treasury'!E:E,MATCH(B44,'10YR Treasury'!B:B,0))</f>
        <v>1.9483333333333334E-3</v>
      </c>
      <c r="G44" s="30">
        <f t="shared" si="3"/>
        <v>0.15620623088890875</v>
      </c>
    </row>
    <row r="45" spans="1:7" x14ac:dyDescent="0.2">
      <c r="A45" s="3">
        <v>44620</v>
      </c>
      <c r="B45" s="1" t="str">
        <f t="shared" si="1"/>
        <v>2-2022</v>
      </c>
      <c r="C45">
        <v>187.58</v>
      </c>
      <c r="D45">
        <f>IFERROR(INDEX('CAT - Dividends'!H:H,MATCH(B45,'CAT - Dividends'!D:D,0)),0)</f>
        <v>0</v>
      </c>
      <c r="E45" s="20">
        <f t="shared" si="2"/>
        <v>-8.0445676511355174E-2</v>
      </c>
      <c r="F45" s="20">
        <f>INDEX('10YR Treasury'!E:E,MATCH(B45,'10YR Treasury'!B:B,0))</f>
        <v>1.5208333333333332E-3</v>
      </c>
      <c r="G45" s="30">
        <f t="shared" si="3"/>
        <v>-8.1966509844688507E-2</v>
      </c>
    </row>
    <row r="46" spans="1:7" x14ac:dyDescent="0.2">
      <c r="A46" s="3">
        <v>44592</v>
      </c>
      <c r="B46" s="1" t="str">
        <f t="shared" si="1"/>
        <v>1-2022</v>
      </c>
      <c r="C46">
        <v>201.56</v>
      </c>
      <c r="D46">
        <f>IFERROR(INDEX('CAT - Dividends'!H:H,MATCH(B46,'CAT - Dividends'!D:D,0)),0)</f>
        <v>1.1100000000000001</v>
      </c>
      <c r="E46" s="20">
        <f t="shared" si="2"/>
        <v>-2.0081906547589644E-2</v>
      </c>
      <c r="F46" s="20">
        <f>INDEX('10YR Treasury'!E:E,MATCH(B46,'10YR Treasury'!B:B,0))</f>
        <v>1.4805833333333333E-3</v>
      </c>
      <c r="G46" s="30">
        <f t="shared" si="3"/>
        <v>-2.1562489880922978E-2</v>
      </c>
    </row>
    <row r="47" spans="1:7" x14ac:dyDescent="0.2">
      <c r="A47" s="3">
        <v>44561</v>
      </c>
      <c r="B47" s="1" t="str">
        <f t="shared" si="1"/>
        <v>12-2021</v>
      </c>
      <c r="C47">
        <v>206.74</v>
      </c>
      <c r="D47">
        <f>IFERROR(INDEX('CAT - Dividends'!H:H,MATCH(B47,'CAT - Dividends'!D:D,0)),0)</f>
        <v>0</v>
      </c>
      <c r="E47" s="20">
        <f t="shared" si="2"/>
        <v>6.4767340621070008E-2</v>
      </c>
      <c r="F47" s="20">
        <f>INDEX('10YR Treasury'!E:E,MATCH(B47,'10YR Treasury'!B:B,0))</f>
        <v>1.2584166666666666E-3</v>
      </c>
      <c r="G47" s="30">
        <f t="shared" si="3"/>
        <v>6.3508923954403343E-2</v>
      </c>
    </row>
    <row r="48" spans="1:7" x14ac:dyDescent="0.2">
      <c r="A48" s="3">
        <v>44530</v>
      </c>
      <c r="B48" s="1" t="str">
        <f t="shared" si="1"/>
        <v>11-2021</v>
      </c>
      <c r="C48">
        <v>193.35</v>
      </c>
      <c r="D48">
        <f>IFERROR(INDEX('CAT - Dividends'!H:H,MATCH(B48,'CAT - Dividends'!D:D,0)),0)</f>
        <v>0</v>
      </c>
      <c r="E48" s="20">
        <f t="shared" si="2"/>
        <v>-6.0874062580812051E-2</v>
      </c>
      <c r="F48" s="20">
        <f>INDEX('10YR Treasury'!E:E,MATCH(B48,'10YR Treasury'!B:B,0))</f>
        <v>1.2035833333333332E-3</v>
      </c>
      <c r="G48" s="30">
        <f t="shared" si="3"/>
        <v>-6.2077645914145385E-2</v>
      </c>
    </row>
    <row r="49" spans="1:7" x14ac:dyDescent="0.2">
      <c r="A49" s="3">
        <v>44498</v>
      </c>
      <c r="B49" s="1" t="str">
        <f t="shared" si="1"/>
        <v>10-2021</v>
      </c>
      <c r="C49">
        <v>204.01</v>
      </c>
      <c r="D49">
        <f>IFERROR(INDEX('CAT - Dividends'!H:H,MATCH(B49,'CAT - Dividends'!D:D,0)),0)</f>
        <v>1.1100000000000001</v>
      </c>
      <c r="E49" s="20">
        <f t="shared" si="2"/>
        <v>6.4108814352574123E-2</v>
      </c>
      <c r="F49" s="20">
        <f>INDEX('10YR Treasury'!E:E,MATCH(B49,'10YR Treasury'!B:B,0))</f>
        <v>1.2934166666666667E-3</v>
      </c>
      <c r="G49" s="30">
        <f t="shared" si="3"/>
        <v>6.2815397685907451E-2</v>
      </c>
    </row>
    <row r="50" spans="1:7" x14ac:dyDescent="0.2">
      <c r="A50" s="3">
        <v>44469</v>
      </c>
      <c r="B50" s="1" t="str">
        <f t="shared" si="1"/>
        <v>9-2021</v>
      </c>
      <c r="C50">
        <v>191.97</v>
      </c>
      <c r="D50">
        <f>IFERROR(INDEX('CAT - Dividends'!H:H,MATCH(B50,'CAT - Dividends'!D:D,0)),0)</f>
        <v>0</v>
      </c>
      <c r="E50" s="20">
        <f t="shared" si="2"/>
        <v>-9.8452883263009869E-2</v>
      </c>
      <c r="F50" s="20">
        <f>INDEX('10YR Treasury'!E:E,MATCH(B50,'10YR Treasury'!B:B,0))</f>
        <v>1.2394166666666667E-3</v>
      </c>
      <c r="G50" s="30">
        <f t="shared" si="3"/>
        <v>-9.9692299929676542E-2</v>
      </c>
    </row>
    <row r="51" spans="1:7" x14ac:dyDescent="0.2">
      <c r="A51" s="3">
        <v>44439</v>
      </c>
      <c r="B51" s="1" t="str">
        <f t="shared" si="1"/>
        <v>8-2021</v>
      </c>
      <c r="C51">
        <v>210.87</v>
      </c>
      <c r="D51">
        <f>IFERROR(INDEX('CAT - Dividends'!H:H,MATCH(B51,'CAT - Dividends'!D:D,0)),0)</f>
        <v>0</v>
      </c>
      <c r="E51" s="20">
        <f t="shared" si="2"/>
        <v>1.4274197372788879E-2</v>
      </c>
      <c r="F51" s="20">
        <f>INDEX('10YR Treasury'!E:E,MATCH(B51,'10YR Treasury'!B:B,0))</f>
        <v>1.0906666666666667E-3</v>
      </c>
      <c r="G51" s="30">
        <f t="shared" si="3"/>
        <v>1.3183530706122212E-2</v>
      </c>
    </row>
    <row r="52" spans="1:7" x14ac:dyDescent="0.2">
      <c r="A52" s="3">
        <v>44407</v>
      </c>
      <c r="B52" s="1" t="str">
        <f t="shared" si="1"/>
        <v>7-2021</v>
      </c>
      <c r="C52">
        <v>206.75</v>
      </c>
      <c r="D52">
        <f>IFERROR(INDEX('CAT - Dividends'!H:H,MATCH(B52,'CAT - Dividends'!D:D,0)),0)</f>
        <v>1.1100000000000001</v>
      </c>
      <c r="E52" s="20">
        <f t="shared" si="2"/>
        <v>-4.7002790339651601E-2</v>
      </c>
      <c r="F52" s="20">
        <f>INDEX('10YR Treasury'!E:E,MATCH(B52,'10YR Treasury'!B:B,0))</f>
        <v>1.0185833333333334E-3</v>
      </c>
      <c r="G52" s="30">
        <f t="shared" si="3"/>
        <v>-4.8021373672984938E-2</v>
      </c>
    </row>
    <row r="53" spans="1:7" x14ac:dyDescent="0.2">
      <c r="A53" s="3">
        <v>44377</v>
      </c>
      <c r="B53" s="1" t="str">
        <f t="shared" si="1"/>
        <v>6-2021</v>
      </c>
      <c r="C53">
        <v>217.63</v>
      </c>
      <c r="D53">
        <f>IFERROR(INDEX('CAT - Dividends'!H:H,MATCH(B53,'CAT - Dividends'!D:D,0)),0)</f>
        <v>0</v>
      </c>
      <c r="E53" s="20">
        <f t="shared" si="2"/>
        <v>-0.10775168864586691</v>
      </c>
      <c r="F53" s="20">
        <f>INDEX('10YR Treasury'!E:E,MATCH(B53,'10YR Treasury'!B:B,0))</f>
        <v>1.2233333333333332E-3</v>
      </c>
      <c r="G53" s="30">
        <f t="shared" si="3"/>
        <v>-0.10897502197920025</v>
      </c>
    </row>
    <row r="54" spans="1:7" x14ac:dyDescent="0.2">
      <c r="A54" s="3">
        <v>44344</v>
      </c>
      <c r="B54" s="1" t="str">
        <f t="shared" si="1"/>
        <v>5-2021</v>
      </c>
      <c r="C54">
        <v>241.08</v>
      </c>
      <c r="D54">
        <f>IFERROR(INDEX('CAT - Dividends'!H:H,MATCH(B54,'CAT - Dividends'!D:D,0)),0)</f>
        <v>0</v>
      </c>
      <c r="E54" s="20">
        <f t="shared" si="2"/>
        <v>4.9527127924340456E-2</v>
      </c>
      <c r="F54" s="20">
        <f>INDEX('10YR Treasury'!E:E,MATCH(B54,'10YR Treasury'!B:B,0))</f>
        <v>1.3285833333333333E-3</v>
      </c>
      <c r="G54" s="30">
        <f t="shared" si="3"/>
        <v>4.8198544591007121E-2</v>
      </c>
    </row>
    <row r="55" spans="1:7" x14ac:dyDescent="0.2">
      <c r="A55" s="3">
        <v>44316</v>
      </c>
      <c r="B55" s="1" t="str">
        <f t="shared" si="1"/>
        <v>4-2021</v>
      </c>
      <c r="C55">
        <v>228.11</v>
      </c>
      <c r="D55">
        <f>IFERROR(INDEX('CAT - Dividends'!H:H,MATCH(B55,'CAT - Dividends'!D:D,0)),0)</f>
        <v>1.03</v>
      </c>
      <c r="E55" s="20">
        <f t="shared" si="2"/>
        <v>-1.1914113642314697E-2</v>
      </c>
      <c r="F55" s="20">
        <f>INDEX('10YR Treasury'!E:E,MATCH(B55,'10YR Treasury'!B:B,0))</f>
        <v>1.3549166666666666E-3</v>
      </c>
      <c r="G55" s="30">
        <f t="shared" si="3"/>
        <v>-1.3269030308981362E-2</v>
      </c>
    </row>
    <row r="56" spans="1:7" x14ac:dyDescent="0.2">
      <c r="A56" s="3">
        <v>44286</v>
      </c>
      <c r="B56" s="1" t="str">
        <f t="shared" si="1"/>
        <v>3-2021</v>
      </c>
      <c r="C56">
        <v>231.87</v>
      </c>
      <c r="D56">
        <f>IFERROR(INDEX('CAT - Dividends'!H:H,MATCH(B56,'CAT - Dividends'!D:D,0)),0)</f>
        <v>0</v>
      </c>
      <c r="E56" s="20">
        <f t="shared" si="2"/>
        <v>6.8961055764005727E-2</v>
      </c>
      <c r="F56" s="20">
        <f>INDEX('10YR Treasury'!E:E,MATCH(B56,'10YR Treasury'!B:B,0))</f>
        <v>1.4503333333333332E-3</v>
      </c>
      <c r="G56" s="30">
        <f t="shared" si="3"/>
        <v>6.7510722430672396E-2</v>
      </c>
    </row>
    <row r="57" spans="1:7" x14ac:dyDescent="0.2">
      <c r="A57" s="3">
        <v>44253</v>
      </c>
      <c r="B57" s="1" t="str">
        <f t="shared" si="1"/>
        <v>2-2021</v>
      </c>
      <c r="C57">
        <v>215.88</v>
      </c>
      <c r="D57">
        <f>IFERROR(INDEX('CAT - Dividends'!H:H,MATCH(B57,'CAT - Dividends'!D:D,0)),0)</f>
        <v>0</v>
      </c>
      <c r="E57" s="20">
        <f t="shared" si="2"/>
        <v>0.14827682045580876</v>
      </c>
      <c r="F57" s="20">
        <f>INDEX('10YR Treasury'!E:E,MATCH(B57,'10YR Treasury'!B:B,0))</f>
        <v>1.1707500000000001E-3</v>
      </c>
      <c r="G57" s="30">
        <f t="shared" si="3"/>
        <v>0.14710607045580876</v>
      </c>
    </row>
    <row r="58" spans="1:7" x14ac:dyDescent="0.2">
      <c r="A58" s="3">
        <v>44225</v>
      </c>
      <c r="B58" s="1" t="str">
        <f t="shared" si="1"/>
        <v>1-2021</v>
      </c>
      <c r="C58">
        <v>182.84</v>
      </c>
      <c r="D58">
        <f>IFERROR(INDEX('CAT - Dividends'!H:H,MATCH(B58,'CAT - Dividends'!D:D,0)),0)</f>
        <v>1.03</v>
      </c>
      <c r="E58" s="20">
        <f t="shared" si="2"/>
        <v>1.0061456463805919E-2</v>
      </c>
      <c r="F58" s="20">
        <f>INDEX('10YR Treasury'!E:E,MATCH(B58,'10YR Treasury'!B:B,0))</f>
        <v>8.8791666666666663E-4</v>
      </c>
      <c r="G58" s="30">
        <f t="shared" si="3"/>
        <v>9.1735397971392518E-3</v>
      </c>
    </row>
    <row r="59" spans="1:7" x14ac:dyDescent="0.2">
      <c r="A59" s="3">
        <v>44196</v>
      </c>
      <c r="B59" s="1" t="str">
        <f t="shared" si="1"/>
        <v>12-2020</v>
      </c>
      <c r="C59">
        <v>182.02</v>
      </c>
      <c r="D59">
        <f>IFERROR(INDEX('CAT - Dividends'!H:H,MATCH(B59,'CAT - Dividends'!D:D,0)),0)</f>
        <v>0</v>
      </c>
      <c r="E59" s="20">
        <f t="shared" si="2"/>
        <v>4.6313591912976633E-2</v>
      </c>
      <c r="F59" s="20">
        <f>INDEX('10YR Treasury'!E:E,MATCH(B59,'10YR Treasury'!B:B,0))</f>
        <v>7.6099999999999996E-4</v>
      </c>
      <c r="G59" s="30">
        <f t="shared" si="3"/>
        <v>4.5552591912976635E-2</v>
      </c>
    </row>
    <row r="60" spans="1:7" x14ac:dyDescent="0.2">
      <c r="A60" s="3">
        <v>44165</v>
      </c>
      <c r="B60" s="1" t="str">
        <f t="shared" si="1"/>
        <v>11-2020</v>
      </c>
      <c r="C60">
        <v>173.59</v>
      </c>
      <c r="D60">
        <f>IFERROR(INDEX('CAT - Dividends'!H:H,MATCH(B60,'CAT - Dividends'!D:D,0)),0)</f>
        <v>0</v>
      </c>
      <c r="E60" s="20">
        <f t="shared" si="2"/>
        <v>8.9348464773316386E-2</v>
      </c>
      <c r="F60" s="20">
        <f>INDEX('10YR Treasury'!E:E,MATCH(B60,'10YR Treasury'!B:B,0))</f>
        <v>6.9908333333333335E-4</v>
      </c>
      <c r="G60" s="30">
        <f t="shared" si="3"/>
        <v>8.8649381439983049E-2</v>
      </c>
    </row>
    <row r="61" spans="1:7" x14ac:dyDescent="0.2">
      <c r="A61" s="3">
        <v>44134</v>
      </c>
      <c r="B61" s="1" t="str">
        <f t="shared" si="1"/>
        <v>10-2020</v>
      </c>
      <c r="C61">
        <v>157.05000000000001</v>
      </c>
      <c r="D61">
        <f>IFERROR(INDEX('CAT - Dividends'!H:H,MATCH(B61,'CAT - Dividends'!D:D,0)),0)</f>
        <v>1.03</v>
      </c>
      <c r="E61" s="20">
        <f t="shared" si="2"/>
        <v>5.6490384615384651E-2</v>
      </c>
      <c r="F61" s="20">
        <f>INDEX('10YR Treasury'!E:E,MATCH(B61,'10YR Treasury'!B:B,0))</f>
        <v>7.280833333333334E-4</v>
      </c>
      <c r="G61" s="30">
        <f t="shared" si="3"/>
        <v>5.576230128205132E-2</v>
      </c>
    </row>
    <row r="62" spans="1:7" x14ac:dyDescent="0.2">
      <c r="A62" s="3">
        <v>44104</v>
      </c>
      <c r="B62" s="1" t="str">
        <f t="shared" si="1"/>
        <v>9-2020</v>
      </c>
      <c r="C62">
        <v>149.15</v>
      </c>
      <c r="D62">
        <f>IFERROR(INDEX('CAT - Dividends'!H:H,MATCH(B62,'CAT - Dividends'!D:D,0)),0)</f>
        <v>0</v>
      </c>
      <c r="E62" s="20">
        <f t="shared" si="2"/>
        <v>4.5859872611464993E-2</v>
      </c>
      <c r="F62" s="20">
        <f>INDEX('10YR Treasury'!E:E,MATCH(B62,'10YR Treasury'!B:B,0))</f>
        <v>5.7000000000000009E-4</v>
      </c>
      <c r="G62" s="30">
        <f t="shared" si="3"/>
        <v>4.5289872611464992E-2</v>
      </c>
    </row>
    <row r="63" spans="1:7" x14ac:dyDescent="0.2">
      <c r="A63" s="3">
        <v>44074</v>
      </c>
      <c r="B63" s="1" t="str">
        <f t="shared" si="1"/>
        <v>8-2020</v>
      </c>
      <c r="C63">
        <v>142.31</v>
      </c>
      <c r="D63">
        <f>IFERROR(INDEX('CAT - Dividends'!H:H,MATCH(B63,'CAT - Dividends'!D:D,0)),0)</f>
        <v>0</v>
      </c>
      <c r="E63" s="20">
        <f t="shared" si="2"/>
        <v>5.9026069847516023E-2</v>
      </c>
      <c r="F63" s="20">
        <f>INDEX('10YR Treasury'!E:E,MATCH(B63,'10YR Treasury'!B:B,0))</f>
        <v>5.8733333333333337E-4</v>
      </c>
      <c r="G63" s="30">
        <f t="shared" si="3"/>
        <v>5.8438736514182688E-2</v>
      </c>
    </row>
    <row r="64" spans="1:7" x14ac:dyDescent="0.2">
      <c r="A64" s="3">
        <v>44043</v>
      </c>
      <c r="B64" s="1" t="str">
        <f t="shared" si="1"/>
        <v>7-2020</v>
      </c>
      <c r="C64">
        <v>132.88</v>
      </c>
      <c r="D64">
        <f>IFERROR(INDEX('CAT - Dividends'!H:H,MATCH(B64,'CAT - Dividends'!D:D,0)),0)</f>
        <v>1.03</v>
      </c>
      <c r="E64" s="20">
        <f t="shared" si="2"/>
        <v>5.5335673213352227E-2</v>
      </c>
      <c r="F64" s="20">
        <f>INDEX('10YR Treasury'!E:E,MATCH(B64,'10YR Treasury'!B:B,0))</f>
        <v>4.4016666666666667E-4</v>
      </c>
      <c r="G64" s="30">
        <f t="shared" si="3"/>
        <v>5.4895506546685562E-2</v>
      </c>
    </row>
    <row r="65" spans="1:7" x14ac:dyDescent="0.2">
      <c r="A65" s="3">
        <v>44012</v>
      </c>
      <c r="B65" s="1" t="str">
        <f t="shared" si="1"/>
        <v>6-2020</v>
      </c>
      <c r="C65">
        <v>126.5</v>
      </c>
      <c r="D65">
        <f>IFERROR(INDEX('CAT - Dividends'!H:H,MATCH(B65,'CAT - Dividends'!D:D,0)),0)</f>
        <v>0</v>
      </c>
      <c r="E65" s="20">
        <f t="shared" si="2"/>
        <v>5.0355731225296477E-2</v>
      </c>
      <c r="F65" s="20">
        <f>INDEX('10YR Treasury'!E:E,MATCH(B65,'10YR Treasury'!B:B,0))</f>
        <v>5.4675000000000004E-4</v>
      </c>
      <c r="G65" s="30">
        <f t="shared" si="3"/>
        <v>4.9808981225296478E-2</v>
      </c>
    </row>
    <row r="66" spans="1:7" x14ac:dyDescent="0.2">
      <c r="A66" s="3">
        <v>43980</v>
      </c>
      <c r="B66" s="1" t="str">
        <f t="shared" si="1"/>
        <v>5-2020</v>
      </c>
      <c r="C66">
        <v>120.13</v>
      </c>
      <c r="D66">
        <f>IFERROR(INDEX('CAT - Dividends'!H:H,MATCH(B66,'CAT - Dividends'!D:D,0)),0)</f>
        <v>0</v>
      </c>
      <c r="E66" s="20">
        <f t="shared" si="2"/>
        <v>2.2642137684175469E-2</v>
      </c>
      <c r="F66" s="20">
        <f>INDEX('10YR Treasury'!E:E,MATCH(B66,'10YR Treasury'!B:B,0))</f>
        <v>5.4383333333333334E-4</v>
      </c>
      <c r="G66" s="30">
        <f t="shared" si="3"/>
        <v>2.2098304350842136E-2</v>
      </c>
    </row>
    <row r="67" spans="1:7" x14ac:dyDescent="0.2">
      <c r="A67" s="3">
        <v>43951</v>
      </c>
      <c r="B67" s="1" t="str">
        <f t="shared" si="1"/>
        <v>4-2020</v>
      </c>
      <c r="C67">
        <v>116.38</v>
      </c>
      <c r="D67">
        <f>IFERROR(INDEX('CAT - Dividends'!H:H,MATCH(B67,'CAT - Dividends'!D:D,0)),0)</f>
        <v>1.03</v>
      </c>
      <c r="F67" s="20">
        <f>INDEX('10YR Treasury'!E:E,MATCH(B67,'10YR Treasury'!B:B,0))</f>
        <v>5.3275000000000002E-4</v>
      </c>
      <c r="G67" s="30"/>
    </row>
    <row r="68" spans="1:7" x14ac:dyDescent="0.2">
      <c r="B68" s="33" t="s">
        <v>38</v>
      </c>
      <c r="C68" s="34">
        <f>AVERAGE(C8:C67)</f>
        <v>242.68799999999996</v>
      </c>
      <c r="D68" s="34"/>
      <c r="E68" s="35">
        <f>AVERAGE(E8:E67)</f>
        <v>1.350261603970028E-2</v>
      </c>
      <c r="F68" s="35">
        <f t="shared" ref="F68:G68" si="4">AVERAGE(F8:F67)</f>
        <v>2.3755305555555536E-3</v>
      </c>
      <c r="G68" s="36">
        <f t="shared" si="4"/>
        <v>1.1095851915406494E-2</v>
      </c>
    </row>
    <row r="69" spans="1:7" x14ac:dyDescent="0.2">
      <c r="B69" t="s">
        <v>15</v>
      </c>
      <c r="C69" s="5">
        <f>STDEV(C8:C67)</f>
        <v>74.759874214329571</v>
      </c>
      <c r="D69" s="5"/>
      <c r="E69" s="32">
        <f>STDEV(E8:E67)</f>
        <v>8.7850658029606024E-2</v>
      </c>
      <c r="F69" s="32">
        <f t="shared" ref="F69:G69" si="5">STDEV(F8:F67)</f>
        <v>1.1818054352796658E-3</v>
      </c>
      <c r="G69" s="37">
        <f t="shared" si="5"/>
        <v>8.8002019131650275E-2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25B2-7318-46AC-8F0E-1DDF4858909F}">
  <sheetPr>
    <tabColor theme="5" tint="0.79998168889431442"/>
  </sheetPr>
  <dimension ref="A1:J23"/>
  <sheetViews>
    <sheetView workbookViewId="0">
      <selection activeCell="J27" sqref="A23:J27"/>
    </sheetView>
  </sheetViews>
  <sheetFormatPr baseColWidth="10" defaultColWidth="8.83203125" defaultRowHeight="15" x14ac:dyDescent="0.2"/>
  <cols>
    <col min="1" max="1" width="3.6640625" bestFit="1" customWidth="1"/>
    <col min="2" max="2" width="11.1640625" bestFit="1" customWidth="1"/>
    <col min="3" max="3" width="10.6640625" bestFit="1" customWidth="1"/>
    <col min="4" max="4" width="10.6640625" customWidth="1"/>
    <col min="5" max="6" width="10.6640625" bestFit="1" customWidth="1"/>
    <col min="7" max="7" width="4.6640625" bestFit="1" customWidth="1"/>
    <col min="8" max="8" width="8.1640625" bestFit="1" customWidth="1"/>
    <col min="9" max="9" width="15.6640625" bestFit="1" customWidth="1"/>
    <col min="10" max="10" width="14.1640625" bestFit="1" customWidth="1"/>
  </cols>
  <sheetData>
    <row r="1" spans="1:10" x14ac:dyDescent="0.2">
      <c r="B1" t="s">
        <v>71</v>
      </c>
      <c r="C1" t="s">
        <v>43</v>
      </c>
      <c r="D1" s="1" t="s">
        <v>81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</row>
    <row r="2" spans="1:10" x14ac:dyDescent="0.2">
      <c r="A2" s="12" t="s">
        <v>82</v>
      </c>
      <c r="B2" s="22">
        <v>45763</v>
      </c>
      <c r="C2" s="22">
        <v>45768</v>
      </c>
      <c r="D2" s="12" t="str">
        <f>_xlfn.CONCAT(MONTH(C2),"-",YEAR(C2))</f>
        <v>4-2025</v>
      </c>
      <c r="E2" s="12" t="s">
        <v>41</v>
      </c>
      <c r="F2" s="12" t="s">
        <v>41</v>
      </c>
      <c r="G2" s="12" t="s">
        <v>32</v>
      </c>
      <c r="H2" s="12">
        <v>1.41</v>
      </c>
      <c r="I2" s="12" t="s">
        <v>83</v>
      </c>
      <c r="J2" s="12" t="e">
        <f>INDEX('CAT - Stock PX'!C:C,MATCH(D2,'CAT - Stock PX'!B:B,0))</f>
        <v>#N/A</v>
      </c>
    </row>
    <row r="3" spans="1:10" x14ac:dyDescent="0.2">
      <c r="A3" t="s">
        <v>50</v>
      </c>
      <c r="B3" s="3">
        <v>45636</v>
      </c>
      <c r="C3" s="3">
        <v>45678</v>
      </c>
      <c r="D3" s="1" t="str">
        <f t="shared" ref="D3:D22" si="0">_xlfn.CONCAT(MONTH(C3),"-",YEAR(C3))</f>
        <v>1-2025</v>
      </c>
      <c r="E3" s="3">
        <v>45678</v>
      </c>
      <c r="F3" s="3">
        <v>45708</v>
      </c>
      <c r="G3" t="s">
        <v>32</v>
      </c>
      <c r="H3">
        <v>1.41</v>
      </c>
      <c r="I3" t="s">
        <v>51</v>
      </c>
      <c r="J3">
        <f>INDEX('CAT - Stock PX'!C:C,MATCH(D3,'CAT - Stock PX'!B:B,0))</f>
        <v>371.44</v>
      </c>
    </row>
    <row r="4" spans="1:10" x14ac:dyDescent="0.2">
      <c r="A4" t="s">
        <v>52</v>
      </c>
      <c r="B4" s="3">
        <v>45574</v>
      </c>
      <c r="C4" s="3">
        <v>45586</v>
      </c>
      <c r="D4" s="1" t="str">
        <f t="shared" si="0"/>
        <v>10-2024</v>
      </c>
      <c r="E4" s="3">
        <v>45586</v>
      </c>
      <c r="F4" s="3">
        <v>45616</v>
      </c>
      <c r="G4" t="s">
        <v>32</v>
      </c>
      <c r="H4">
        <v>1.41</v>
      </c>
      <c r="I4" t="s">
        <v>51</v>
      </c>
      <c r="J4">
        <f>INDEX('CAT - Stock PX'!C:C,MATCH(D4,'CAT - Stock PX'!B:B,0))</f>
        <v>376.2</v>
      </c>
    </row>
    <row r="5" spans="1:10" x14ac:dyDescent="0.2">
      <c r="A5" t="s">
        <v>53</v>
      </c>
      <c r="B5" s="3">
        <v>45455</v>
      </c>
      <c r="C5" s="3">
        <v>45495</v>
      </c>
      <c r="D5" s="1" t="str">
        <f t="shared" si="0"/>
        <v>7-2024</v>
      </c>
      <c r="E5" s="3">
        <v>45495</v>
      </c>
      <c r="F5" s="3">
        <v>45524</v>
      </c>
      <c r="G5" t="s">
        <v>32</v>
      </c>
      <c r="H5">
        <v>1.41</v>
      </c>
      <c r="I5" t="s">
        <v>51</v>
      </c>
      <c r="J5">
        <f>INDEX('CAT - Stock PX'!C:C,MATCH(D5,'CAT - Stock PX'!B:B,0))</f>
        <v>346.2</v>
      </c>
    </row>
    <row r="6" spans="1:10" x14ac:dyDescent="0.2">
      <c r="A6" t="s">
        <v>54</v>
      </c>
      <c r="B6" s="3">
        <v>45392</v>
      </c>
      <c r="C6" s="3">
        <v>45401</v>
      </c>
      <c r="D6" s="1" t="str">
        <f t="shared" si="0"/>
        <v>4-2024</v>
      </c>
      <c r="E6" s="3">
        <v>45404</v>
      </c>
      <c r="F6" s="3">
        <v>45432</v>
      </c>
      <c r="G6" t="s">
        <v>32</v>
      </c>
      <c r="H6">
        <v>1.3</v>
      </c>
      <c r="I6" t="s">
        <v>51</v>
      </c>
      <c r="J6">
        <f>INDEX('CAT - Stock PX'!C:C,MATCH(D6,'CAT - Stock PX'!B:B,0))</f>
        <v>334.57</v>
      </c>
    </row>
    <row r="7" spans="1:10" x14ac:dyDescent="0.2">
      <c r="A7" t="s">
        <v>55</v>
      </c>
      <c r="B7" s="3">
        <v>45273</v>
      </c>
      <c r="C7" s="3">
        <v>45310</v>
      </c>
      <c r="D7" s="1" t="str">
        <f t="shared" si="0"/>
        <v>1-2024</v>
      </c>
      <c r="E7" s="3">
        <v>45313</v>
      </c>
      <c r="F7" s="3">
        <v>45342</v>
      </c>
      <c r="G7" t="s">
        <v>32</v>
      </c>
      <c r="H7">
        <v>1.3</v>
      </c>
      <c r="I7" t="s">
        <v>51</v>
      </c>
      <c r="J7">
        <f>INDEX('CAT - Stock PX'!C:C,MATCH(D7,'CAT - Stock PX'!B:B,0))</f>
        <v>300.31</v>
      </c>
    </row>
    <row r="8" spans="1:10" x14ac:dyDescent="0.2">
      <c r="A8" t="s">
        <v>56</v>
      </c>
      <c r="B8" s="3">
        <v>45210</v>
      </c>
      <c r="C8" s="3">
        <v>45219</v>
      </c>
      <c r="D8" s="1" t="str">
        <f t="shared" si="0"/>
        <v>10-2023</v>
      </c>
      <c r="E8" s="3">
        <v>45222</v>
      </c>
      <c r="F8" s="3">
        <v>45250</v>
      </c>
      <c r="G8" t="s">
        <v>32</v>
      </c>
      <c r="H8">
        <v>1.3</v>
      </c>
      <c r="I8" t="s">
        <v>51</v>
      </c>
      <c r="J8">
        <f>INDEX('CAT - Stock PX'!C:C,MATCH(D8,'CAT - Stock PX'!B:B,0))</f>
        <v>226.05</v>
      </c>
    </row>
    <row r="9" spans="1:10" x14ac:dyDescent="0.2">
      <c r="A9" t="s">
        <v>57</v>
      </c>
      <c r="B9" s="3">
        <v>45091</v>
      </c>
      <c r="C9" s="3">
        <v>45126</v>
      </c>
      <c r="D9" s="1" t="str">
        <f t="shared" si="0"/>
        <v>7-2023</v>
      </c>
      <c r="E9" s="3">
        <v>45127</v>
      </c>
      <c r="F9" s="3">
        <v>45156</v>
      </c>
      <c r="G9" t="s">
        <v>32</v>
      </c>
      <c r="H9">
        <v>1.3</v>
      </c>
      <c r="I9" t="s">
        <v>51</v>
      </c>
      <c r="J9">
        <f>INDEX('CAT - Stock PX'!C:C,MATCH(D9,'CAT - Stock PX'!B:B,0))</f>
        <v>265.17</v>
      </c>
    </row>
    <row r="10" spans="1:10" x14ac:dyDescent="0.2">
      <c r="A10" t="s">
        <v>58</v>
      </c>
      <c r="B10" s="3">
        <v>45028</v>
      </c>
      <c r="C10" s="3">
        <v>45037</v>
      </c>
      <c r="D10" s="1" t="str">
        <f t="shared" si="0"/>
        <v>4-2023</v>
      </c>
      <c r="E10" s="3">
        <v>45040</v>
      </c>
      <c r="F10" s="3">
        <v>45065</v>
      </c>
      <c r="G10" t="s">
        <v>32</v>
      </c>
      <c r="H10">
        <v>1.2</v>
      </c>
      <c r="I10" t="s">
        <v>51</v>
      </c>
      <c r="J10">
        <f>INDEX('CAT - Stock PX'!C:C,MATCH(D10,'CAT - Stock PX'!B:B,0))</f>
        <v>218.8</v>
      </c>
    </row>
    <row r="11" spans="1:10" x14ac:dyDescent="0.2">
      <c r="A11" t="s">
        <v>59</v>
      </c>
      <c r="B11" s="3">
        <v>44909</v>
      </c>
      <c r="C11" s="3">
        <v>44945</v>
      </c>
      <c r="D11" s="1" t="str">
        <f t="shared" si="0"/>
        <v>1-2023</v>
      </c>
      <c r="E11" s="3">
        <v>44946</v>
      </c>
      <c r="F11" s="3">
        <v>44974</v>
      </c>
      <c r="G11" t="s">
        <v>32</v>
      </c>
      <c r="H11">
        <v>1.2</v>
      </c>
      <c r="I11" t="s">
        <v>51</v>
      </c>
      <c r="J11">
        <f>INDEX('CAT - Stock PX'!C:C,MATCH(D11,'CAT - Stock PX'!B:B,0))</f>
        <v>252.29</v>
      </c>
    </row>
    <row r="12" spans="1:10" x14ac:dyDescent="0.2">
      <c r="A12" t="s">
        <v>60</v>
      </c>
      <c r="B12" s="3">
        <v>44846</v>
      </c>
      <c r="C12" s="3">
        <v>44855</v>
      </c>
      <c r="D12" s="1" t="str">
        <f t="shared" si="0"/>
        <v>10-2022</v>
      </c>
      <c r="E12" s="3">
        <v>44858</v>
      </c>
      <c r="F12" s="3">
        <v>44883</v>
      </c>
      <c r="G12" t="s">
        <v>32</v>
      </c>
      <c r="H12">
        <v>1.2</v>
      </c>
      <c r="I12" t="s">
        <v>51</v>
      </c>
      <c r="J12">
        <f>INDEX('CAT - Stock PX'!C:C,MATCH(D12,'CAT - Stock PX'!B:B,0))</f>
        <v>216.46</v>
      </c>
    </row>
    <row r="13" spans="1:10" x14ac:dyDescent="0.2">
      <c r="A13" t="s">
        <v>61</v>
      </c>
      <c r="B13" s="3">
        <v>44720</v>
      </c>
      <c r="C13" s="3">
        <v>44761</v>
      </c>
      <c r="D13" s="1" t="str">
        <f t="shared" si="0"/>
        <v>7-2022</v>
      </c>
      <c r="E13" s="3">
        <v>44762</v>
      </c>
      <c r="F13" s="3">
        <v>44792</v>
      </c>
      <c r="G13" t="s">
        <v>32</v>
      </c>
      <c r="H13">
        <v>1.2</v>
      </c>
      <c r="I13" t="s">
        <v>51</v>
      </c>
      <c r="J13">
        <f>INDEX('CAT - Stock PX'!C:C,MATCH(D13,'CAT - Stock PX'!B:B,0))</f>
        <v>198.25</v>
      </c>
    </row>
    <row r="14" spans="1:10" x14ac:dyDescent="0.2">
      <c r="A14" t="s">
        <v>62</v>
      </c>
      <c r="B14" s="3">
        <v>44664</v>
      </c>
      <c r="C14" s="3">
        <v>44673</v>
      </c>
      <c r="D14" s="1" t="str">
        <f t="shared" si="0"/>
        <v>4-2022</v>
      </c>
      <c r="E14" s="3">
        <v>44676</v>
      </c>
      <c r="F14" s="3">
        <v>44701</v>
      </c>
      <c r="G14" t="s">
        <v>32</v>
      </c>
      <c r="H14">
        <v>1.1100000000000001</v>
      </c>
      <c r="I14" t="s">
        <v>51</v>
      </c>
      <c r="J14">
        <f>INDEX('CAT - Stock PX'!C:C,MATCH(D14,'CAT - Stock PX'!B:B,0))</f>
        <v>210.54</v>
      </c>
    </row>
    <row r="15" spans="1:10" x14ac:dyDescent="0.2">
      <c r="A15" t="s">
        <v>63</v>
      </c>
      <c r="B15" s="3">
        <v>44538</v>
      </c>
      <c r="C15" s="3">
        <v>44580</v>
      </c>
      <c r="D15" s="1" t="str">
        <f t="shared" si="0"/>
        <v>1-2022</v>
      </c>
      <c r="E15" s="3">
        <v>44581</v>
      </c>
      <c r="F15" s="3">
        <v>44610</v>
      </c>
      <c r="G15" t="s">
        <v>32</v>
      </c>
      <c r="H15">
        <v>1.1100000000000001</v>
      </c>
      <c r="I15" t="s">
        <v>51</v>
      </c>
      <c r="J15">
        <f>INDEX('CAT - Stock PX'!C:C,MATCH(D15,'CAT - Stock PX'!B:B,0))</f>
        <v>201.56</v>
      </c>
    </row>
    <row r="16" spans="1:10" x14ac:dyDescent="0.2">
      <c r="A16" t="s">
        <v>64</v>
      </c>
      <c r="B16" s="3">
        <v>44482</v>
      </c>
      <c r="C16" s="3">
        <v>44491</v>
      </c>
      <c r="D16" s="1" t="str">
        <f t="shared" si="0"/>
        <v>10-2021</v>
      </c>
      <c r="E16" s="3">
        <v>44494</v>
      </c>
      <c r="F16" s="3">
        <v>44519</v>
      </c>
      <c r="G16" t="s">
        <v>32</v>
      </c>
      <c r="H16">
        <v>1.1100000000000001</v>
      </c>
      <c r="I16" t="s">
        <v>51</v>
      </c>
      <c r="J16">
        <f>INDEX('CAT - Stock PX'!C:C,MATCH(D16,'CAT - Stock PX'!B:B,0))</f>
        <v>204.01</v>
      </c>
    </row>
    <row r="17" spans="1:10" x14ac:dyDescent="0.2">
      <c r="A17" t="s">
        <v>65</v>
      </c>
      <c r="B17" s="3">
        <v>44356</v>
      </c>
      <c r="C17" s="3">
        <v>44396</v>
      </c>
      <c r="D17" s="1" t="str">
        <f t="shared" si="0"/>
        <v>7-2021</v>
      </c>
      <c r="E17" s="3">
        <v>44397</v>
      </c>
      <c r="F17" s="3">
        <v>44428</v>
      </c>
      <c r="G17" t="s">
        <v>32</v>
      </c>
      <c r="H17">
        <v>1.1100000000000001</v>
      </c>
      <c r="I17" t="s">
        <v>51</v>
      </c>
      <c r="J17">
        <f>INDEX('CAT - Stock PX'!C:C,MATCH(D17,'CAT - Stock PX'!B:B,0))</f>
        <v>206.75</v>
      </c>
    </row>
    <row r="18" spans="1:10" x14ac:dyDescent="0.2">
      <c r="A18" t="s">
        <v>66</v>
      </c>
      <c r="B18" s="3">
        <v>44300</v>
      </c>
      <c r="C18" s="3">
        <v>44309</v>
      </c>
      <c r="D18" s="1" t="str">
        <f t="shared" si="0"/>
        <v>4-2021</v>
      </c>
      <c r="E18" s="3">
        <v>44312</v>
      </c>
      <c r="F18" s="3">
        <v>44336</v>
      </c>
      <c r="G18" t="s">
        <v>32</v>
      </c>
      <c r="H18">
        <v>1.03</v>
      </c>
      <c r="I18" t="s">
        <v>51</v>
      </c>
      <c r="J18">
        <f>INDEX('CAT - Stock PX'!C:C,MATCH(D18,'CAT - Stock PX'!B:B,0))</f>
        <v>228.11</v>
      </c>
    </row>
    <row r="19" spans="1:10" x14ac:dyDescent="0.2">
      <c r="A19" t="s">
        <v>67</v>
      </c>
      <c r="B19" s="3">
        <v>44174</v>
      </c>
      <c r="C19" s="3">
        <v>44215</v>
      </c>
      <c r="D19" s="1" t="str">
        <f t="shared" si="0"/>
        <v>1-2021</v>
      </c>
      <c r="E19" s="3">
        <v>44216</v>
      </c>
      <c r="F19" s="3">
        <v>44246</v>
      </c>
      <c r="G19" t="s">
        <v>32</v>
      </c>
      <c r="H19">
        <v>1.03</v>
      </c>
      <c r="I19" t="s">
        <v>51</v>
      </c>
      <c r="J19">
        <f>INDEX('CAT - Stock PX'!C:C,MATCH(D19,'CAT - Stock PX'!B:B,0))</f>
        <v>182.84</v>
      </c>
    </row>
    <row r="20" spans="1:10" x14ac:dyDescent="0.2">
      <c r="A20" t="s">
        <v>68</v>
      </c>
      <c r="B20" s="3">
        <v>44118</v>
      </c>
      <c r="C20" s="3">
        <v>44127</v>
      </c>
      <c r="D20" s="1" t="str">
        <f t="shared" si="0"/>
        <v>10-2020</v>
      </c>
      <c r="E20" s="3">
        <v>44130</v>
      </c>
      <c r="F20" s="3">
        <v>44155</v>
      </c>
      <c r="G20" t="s">
        <v>32</v>
      </c>
      <c r="H20">
        <v>1.03</v>
      </c>
      <c r="I20" t="s">
        <v>51</v>
      </c>
      <c r="J20">
        <f>INDEX('CAT - Stock PX'!C:C,MATCH(D20,'CAT - Stock PX'!B:B,0))</f>
        <v>157.05000000000001</v>
      </c>
    </row>
    <row r="21" spans="1:10" x14ac:dyDescent="0.2">
      <c r="A21" t="s">
        <v>73</v>
      </c>
      <c r="B21" s="3">
        <v>43992</v>
      </c>
      <c r="C21" s="3">
        <v>44029</v>
      </c>
      <c r="D21" s="1" t="str">
        <f t="shared" si="0"/>
        <v>7-2020</v>
      </c>
      <c r="E21" s="3">
        <v>44032</v>
      </c>
      <c r="F21" s="3">
        <v>44063</v>
      </c>
      <c r="G21" t="s">
        <v>32</v>
      </c>
      <c r="H21">
        <v>1.03</v>
      </c>
      <c r="I21" t="s">
        <v>51</v>
      </c>
      <c r="J21">
        <f>INDEX('CAT - Stock PX'!C:C,MATCH(D21,'CAT - Stock PX'!B:B,0))</f>
        <v>132.88</v>
      </c>
    </row>
    <row r="22" spans="1:10" x14ac:dyDescent="0.2">
      <c r="A22" t="s">
        <v>74</v>
      </c>
      <c r="B22" s="3">
        <v>43929</v>
      </c>
      <c r="C22" s="3">
        <v>43938</v>
      </c>
      <c r="D22" s="1" t="str">
        <f t="shared" si="0"/>
        <v>4-2020</v>
      </c>
      <c r="E22" s="3">
        <v>43941</v>
      </c>
      <c r="F22" s="3">
        <v>43971</v>
      </c>
      <c r="G22" t="s">
        <v>32</v>
      </c>
      <c r="H22">
        <v>1.03</v>
      </c>
      <c r="I22" t="s">
        <v>51</v>
      </c>
      <c r="J22">
        <f>INDEX('CAT - Stock PX'!C:C,MATCH(D22,'CAT - Stock PX'!B:B,0))</f>
        <v>116.38</v>
      </c>
    </row>
    <row r="23" spans="1:10" x14ac:dyDescent="0.2">
      <c r="H23">
        <f>AVERAGE(H2:H22)</f>
        <v>1.2014285714285715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45D8-F3B6-49F2-B619-03E6C91CC0DF}">
  <sheetPr>
    <tabColor theme="8" tint="0.79998168889431442"/>
  </sheetPr>
  <dimension ref="A1:L66"/>
  <sheetViews>
    <sheetView topLeftCell="A22" zoomScale="94" zoomScaleNormal="37" workbookViewId="0">
      <selection activeCell="D65" sqref="D65"/>
    </sheetView>
  </sheetViews>
  <sheetFormatPr baseColWidth="10" defaultColWidth="8.83203125" defaultRowHeight="15" x14ac:dyDescent="0.2"/>
  <cols>
    <col min="1" max="1" width="8.5" customWidth="1"/>
    <col min="2" max="2" width="12.5" bestFit="1" customWidth="1"/>
    <col min="3" max="3" width="7.1640625" bestFit="1" customWidth="1"/>
    <col min="4" max="4" width="13.83203125" customWidth="1"/>
    <col min="6" max="6" width="10.6640625" bestFit="1" customWidth="1"/>
    <col min="7" max="7" width="13.6640625" bestFit="1" customWidth="1"/>
    <col min="8" max="8" width="10.6640625" bestFit="1" customWidth="1"/>
    <col min="9" max="9" width="8.5" bestFit="1" customWidth="1"/>
    <col min="10" max="10" width="11.83203125" bestFit="1" customWidth="1"/>
    <col min="11" max="11" width="11.5" bestFit="1" customWidth="1"/>
    <col min="12" max="12" width="13.5" bestFit="1" customWidth="1"/>
  </cols>
  <sheetData>
    <row r="1" spans="1:12" x14ac:dyDescent="0.2">
      <c r="A1" s="4" t="s">
        <v>33</v>
      </c>
      <c r="B1" s="4" t="s">
        <v>34</v>
      </c>
      <c r="C1" s="4" t="s">
        <v>84</v>
      </c>
      <c r="D1" s="44" t="s">
        <v>85</v>
      </c>
      <c r="F1" s="12" t="s">
        <v>33</v>
      </c>
      <c r="G1" s="12" t="s">
        <v>86</v>
      </c>
      <c r="H1" s="12" t="s">
        <v>70</v>
      </c>
      <c r="I1" s="12" t="s">
        <v>87</v>
      </c>
      <c r="J1" s="12" t="s">
        <v>88</v>
      </c>
      <c r="K1" s="12" t="s">
        <v>89</v>
      </c>
      <c r="L1" s="12" t="s">
        <v>90</v>
      </c>
    </row>
    <row r="2" spans="1:12" x14ac:dyDescent="0.2">
      <c r="A2" s="3">
        <v>45747</v>
      </c>
      <c r="B2" s="3" t="str">
        <f>_xlfn.CONCAT(MONTH(A2),"-",YEAR(A2))</f>
        <v>3-2025</v>
      </c>
      <c r="C2">
        <v>5611.85</v>
      </c>
      <c r="D2" s="52">
        <f>(C2-C3)/C2</f>
        <v>-6.1058296283756627E-2</v>
      </c>
      <c r="F2" s="22">
        <v>45747</v>
      </c>
      <c r="G2" s="12">
        <v>5611.85</v>
      </c>
      <c r="H2" s="12">
        <v>7.2231100000000001</v>
      </c>
      <c r="I2" s="53">
        <v>0.73699999999999999</v>
      </c>
      <c r="J2" s="53">
        <v>0.88426000000000005</v>
      </c>
      <c r="K2" s="53">
        <v>-5.7544999999999999E-2</v>
      </c>
      <c r="L2" s="53">
        <v>-5.6343999999999998E-2</v>
      </c>
    </row>
    <row r="3" spans="1:12" x14ac:dyDescent="0.2">
      <c r="A3" s="3">
        <v>45716</v>
      </c>
      <c r="B3" s="3" t="str">
        <f t="shared" ref="B3:B64" si="0">_xlfn.CONCAT(MONTH(A3),"-",YEAR(A3))</f>
        <v>2-2025</v>
      </c>
      <c r="C3">
        <v>5954.5</v>
      </c>
      <c r="D3" s="52">
        <f t="shared" ref="D3:D63" si="1">(C3-C4)/C3</f>
        <v>-1.4447896548828575E-2</v>
      </c>
      <c r="F3" s="22">
        <v>45716</v>
      </c>
      <c r="G3" s="12">
        <v>5954.5</v>
      </c>
      <c r="H3" s="12">
        <v>7.3311400000000004</v>
      </c>
      <c r="I3" s="53">
        <v>0.84304999999999997</v>
      </c>
      <c r="J3" s="53">
        <v>0.99677000000000004</v>
      </c>
      <c r="K3" s="53">
        <v>-1.4241999999999999E-2</v>
      </c>
      <c r="L3" s="53">
        <v>-1.3050000000000001E-2</v>
      </c>
    </row>
    <row r="4" spans="1:12" x14ac:dyDescent="0.2">
      <c r="A4" s="3">
        <v>45688</v>
      </c>
      <c r="B4" s="3" t="str">
        <f t="shared" si="0"/>
        <v>1-2025</v>
      </c>
      <c r="C4">
        <v>6040.53</v>
      </c>
      <c r="D4" s="52">
        <f t="shared" si="1"/>
        <v>2.630563874362012E-2</v>
      </c>
      <c r="F4" s="22">
        <v>45688</v>
      </c>
      <c r="G4" s="12">
        <v>6040.53</v>
      </c>
      <c r="H4" s="12">
        <v>4.5073400000000001</v>
      </c>
      <c r="I4" s="53">
        <v>0.86968000000000001</v>
      </c>
      <c r="J4" s="53">
        <v>1.0231699999999999</v>
      </c>
      <c r="K4" s="53">
        <v>2.7015999999999998E-2</v>
      </c>
      <c r="L4" s="53">
        <v>2.7793000000000002E-2</v>
      </c>
    </row>
    <row r="5" spans="1:12" x14ac:dyDescent="0.2">
      <c r="A5" s="3">
        <v>45657</v>
      </c>
      <c r="B5" s="3" t="str">
        <f t="shared" si="0"/>
        <v>12-2024</v>
      </c>
      <c r="C5">
        <v>5881.63</v>
      </c>
      <c r="D5" s="52">
        <f t="shared" si="1"/>
        <v>-2.5630650006885847E-2</v>
      </c>
      <c r="F5" s="22">
        <v>45657</v>
      </c>
      <c r="G5" s="12">
        <v>5881.63</v>
      </c>
      <c r="H5" s="12">
        <v>6.66411</v>
      </c>
      <c r="I5" s="53">
        <v>0.82050000000000001</v>
      </c>
      <c r="J5" s="53">
        <v>0.96845999999999999</v>
      </c>
      <c r="K5" s="53">
        <v>-2.4989999999999998E-2</v>
      </c>
      <c r="L5" s="53">
        <v>-2.3911999999999999E-2</v>
      </c>
    </row>
    <row r="6" spans="1:12" x14ac:dyDescent="0.2">
      <c r="A6" s="3">
        <v>45625</v>
      </c>
      <c r="B6" s="3" t="str">
        <f t="shared" si="0"/>
        <v>11-2024</v>
      </c>
      <c r="C6">
        <v>6032.38</v>
      </c>
      <c r="D6" s="52">
        <f t="shared" si="1"/>
        <v>5.4195856361834015E-2</v>
      </c>
      <c r="F6" s="22">
        <v>45625</v>
      </c>
      <c r="G6" s="12">
        <v>6032.38</v>
      </c>
      <c r="H6" s="12">
        <v>7.8527800000000001</v>
      </c>
      <c r="I6" s="53">
        <v>0.86716000000000004</v>
      </c>
      <c r="J6" s="53">
        <v>1.01668</v>
      </c>
      <c r="K6" s="53">
        <v>5.7300999999999998E-2</v>
      </c>
      <c r="L6" s="53">
        <v>5.8700000000000002E-2</v>
      </c>
    </row>
    <row r="7" spans="1:12" x14ac:dyDescent="0.2">
      <c r="A7" s="3">
        <v>45596</v>
      </c>
      <c r="B7" s="3" t="str">
        <f t="shared" si="0"/>
        <v>10-2024</v>
      </c>
      <c r="C7">
        <v>5705.45</v>
      </c>
      <c r="D7" s="52">
        <f t="shared" si="1"/>
        <v>-9.9957058601862683E-3</v>
      </c>
      <c r="F7" s="22">
        <v>45596</v>
      </c>
      <c r="G7" s="12">
        <v>5705.45</v>
      </c>
      <c r="H7" s="12">
        <v>4.3367699999999996</v>
      </c>
      <c r="I7" s="53">
        <v>0.76597000000000004</v>
      </c>
      <c r="J7" s="53">
        <v>0.90486999999999995</v>
      </c>
      <c r="K7" s="53">
        <v>-9.8969999999999995E-3</v>
      </c>
      <c r="L7" s="53">
        <v>-9.1529999999999997E-3</v>
      </c>
    </row>
    <row r="8" spans="1:12" x14ac:dyDescent="0.2">
      <c r="A8" s="3">
        <v>45565</v>
      </c>
      <c r="B8" s="3" t="str">
        <f t="shared" si="0"/>
        <v>9-2024</v>
      </c>
      <c r="C8">
        <v>5762.48</v>
      </c>
      <c r="D8" s="52">
        <f t="shared" si="1"/>
        <v>1.9797031833516113E-2</v>
      </c>
      <c r="F8" s="22">
        <v>45565</v>
      </c>
      <c r="G8" s="12">
        <v>5762.48</v>
      </c>
      <c r="H8" s="12">
        <v>6.3432399999999998</v>
      </c>
      <c r="I8" s="53">
        <v>0.78361999999999998</v>
      </c>
      <c r="J8" s="53">
        <v>0.92245999999999995</v>
      </c>
      <c r="K8" s="53">
        <v>2.0197E-2</v>
      </c>
      <c r="L8" s="53">
        <v>2.1354000000000001E-2</v>
      </c>
    </row>
    <row r="9" spans="1:12" x14ac:dyDescent="0.2">
      <c r="A9" s="3">
        <v>45534</v>
      </c>
      <c r="B9" s="3" t="str">
        <f t="shared" si="0"/>
        <v>8-2024</v>
      </c>
      <c r="C9">
        <v>5648.4</v>
      </c>
      <c r="D9" s="52">
        <f t="shared" si="1"/>
        <v>2.2324906168118309E-2</v>
      </c>
      <c r="F9" s="22">
        <v>45534</v>
      </c>
      <c r="G9" s="12">
        <v>5648.4</v>
      </c>
      <c r="H9" s="12">
        <v>7.6528</v>
      </c>
      <c r="I9" s="53">
        <v>0.74831000000000003</v>
      </c>
      <c r="J9" s="53">
        <v>0.88227</v>
      </c>
      <c r="K9" s="53">
        <v>2.2835000000000001E-2</v>
      </c>
      <c r="L9" s="53">
        <v>2.4257999999999998E-2</v>
      </c>
    </row>
    <row r="10" spans="1:12" x14ac:dyDescent="0.2">
      <c r="A10" s="3">
        <v>45504</v>
      </c>
      <c r="B10" s="3" t="str">
        <f t="shared" si="0"/>
        <v>7-2024</v>
      </c>
      <c r="C10">
        <v>5522.3</v>
      </c>
      <c r="D10" s="52">
        <f t="shared" si="1"/>
        <v>1.1194610941093497E-2</v>
      </c>
      <c r="F10" s="22">
        <v>45504</v>
      </c>
      <c r="G10" s="12">
        <v>5522.3</v>
      </c>
      <c r="H10" s="12">
        <v>4.67544</v>
      </c>
      <c r="I10" s="53">
        <v>0.70928000000000002</v>
      </c>
      <c r="J10" s="53">
        <v>0.83769000000000005</v>
      </c>
      <c r="K10" s="53">
        <v>1.1320999999999999E-2</v>
      </c>
      <c r="L10" s="53">
        <v>1.2173E-2</v>
      </c>
    </row>
    <row r="11" spans="1:12" x14ac:dyDescent="0.2">
      <c r="A11" s="3">
        <v>45471</v>
      </c>
      <c r="B11" s="3" t="str">
        <f t="shared" si="0"/>
        <v>6-2024</v>
      </c>
      <c r="C11">
        <v>5460.48</v>
      </c>
      <c r="D11" s="52">
        <f t="shared" si="1"/>
        <v>3.3508043248945032E-2</v>
      </c>
      <c r="F11" s="22">
        <v>45471</v>
      </c>
      <c r="G11" s="12">
        <v>5460.48</v>
      </c>
      <c r="H11" s="12">
        <v>6.3083499999999999</v>
      </c>
      <c r="I11" s="53">
        <v>0.69013999999999998</v>
      </c>
      <c r="J11" s="53">
        <v>0.81559000000000004</v>
      </c>
      <c r="K11" s="53">
        <v>3.4669999999999999E-2</v>
      </c>
      <c r="L11" s="53">
        <v>3.5879000000000001E-2</v>
      </c>
    </row>
    <row r="12" spans="1:12" x14ac:dyDescent="0.2">
      <c r="A12" s="3">
        <v>45443</v>
      </c>
      <c r="B12" s="3" t="str">
        <f t="shared" si="0"/>
        <v>5-2024</v>
      </c>
      <c r="C12">
        <v>5277.51</v>
      </c>
      <c r="D12" s="52">
        <f t="shared" si="1"/>
        <v>4.5820851121078046E-2</v>
      </c>
      <c r="F12" s="22">
        <v>45443</v>
      </c>
      <c r="G12" s="12">
        <v>5277.51</v>
      </c>
      <c r="H12" s="12">
        <v>7.8364500000000001</v>
      </c>
      <c r="I12" s="53">
        <v>0.63351000000000002</v>
      </c>
      <c r="J12" s="53">
        <v>0.75270999999999999</v>
      </c>
      <c r="K12" s="53">
        <v>4.8021000000000001E-2</v>
      </c>
      <c r="L12" s="53">
        <v>4.9585999999999998E-2</v>
      </c>
    </row>
    <row r="13" spans="1:12" x14ac:dyDescent="0.2">
      <c r="A13" s="3">
        <v>45412</v>
      </c>
      <c r="B13" s="3" t="str">
        <f t="shared" si="0"/>
        <v>4-2024</v>
      </c>
      <c r="C13">
        <v>5035.6899999999996</v>
      </c>
      <c r="D13" s="52">
        <f t="shared" si="1"/>
        <v>-4.3422053382952637E-2</v>
      </c>
      <c r="F13" s="22">
        <v>45412</v>
      </c>
      <c r="G13" s="12">
        <v>5035.6899999999996</v>
      </c>
      <c r="H13" s="12">
        <v>4.1245900000000004</v>
      </c>
      <c r="I13" s="53">
        <v>0.55866000000000005</v>
      </c>
      <c r="J13" s="53">
        <v>0.66990000000000005</v>
      </c>
      <c r="K13" s="53">
        <v>-4.1614999999999999E-2</v>
      </c>
      <c r="L13" s="53">
        <v>-4.0843999999999998E-2</v>
      </c>
    </row>
    <row r="14" spans="1:12" x14ac:dyDescent="0.2">
      <c r="A14" s="3">
        <v>45380</v>
      </c>
      <c r="B14" s="3" t="str">
        <f t="shared" si="0"/>
        <v>3-2024</v>
      </c>
      <c r="C14">
        <v>5254.35</v>
      </c>
      <c r="D14" s="52">
        <f t="shared" si="1"/>
        <v>3.0085548164853867E-2</v>
      </c>
      <c r="F14" s="22">
        <v>45380</v>
      </c>
      <c r="G14" s="12">
        <v>5254.35</v>
      </c>
      <c r="H14" s="12">
        <v>5.7897800000000004</v>
      </c>
      <c r="I14" s="53">
        <v>0.62634000000000001</v>
      </c>
      <c r="J14" s="53">
        <v>0.74100999999999995</v>
      </c>
      <c r="K14" s="53">
        <v>3.1019000000000001E-2</v>
      </c>
      <c r="L14" s="53">
        <v>3.2174000000000001E-2</v>
      </c>
    </row>
    <row r="15" spans="1:12" x14ac:dyDescent="0.2">
      <c r="A15" s="3">
        <v>45351</v>
      </c>
      <c r="B15" s="3" t="str">
        <f t="shared" si="0"/>
        <v>2-2024</v>
      </c>
      <c r="C15">
        <v>5096.2700000000004</v>
      </c>
      <c r="D15" s="52">
        <f t="shared" si="1"/>
        <v>4.9177143283224943E-2</v>
      </c>
      <c r="F15" s="22">
        <v>45351</v>
      </c>
      <c r="G15" s="12">
        <v>5096.2700000000004</v>
      </c>
      <c r="H15" s="12">
        <v>7.9864699999999997</v>
      </c>
      <c r="I15" s="53">
        <v>0.57740999999999998</v>
      </c>
      <c r="J15" s="53">
        <v>0.68674999999999997</v>
      </c>
      <c r="K15" s="53">
        <v>5.1721000000000003E-2</v>
      </c>
      <c r="L15" s="53">
        <v>5.3394999999999998E-2</v>
      </c>
    </row>
    <row r="16" spans="1:12" x14ac:dyDescent="0.2">
      <c r="A16" s="3">
        <v>45322</v>
      </c>
      <c r="B16" s="3" t="str">
        <f t="shared" si="0"/>
        <v>1-2024</v>
      </c>
      <c r="C16">
        <v>4845.6499999999996</v>
      </c>
      <c r="D16" s="52">
        <f t="shared" si="1"/>
        <v>1.5647023619122246E-2</v>
      </c>
      <c r="F16" s="22">
        <v>45322</v>
      </c>
      <c r="G16" s="12">
        <v>4845.6499999999996</v>
      </c>
      <c r="H16" s="12">
        <v>4.2313099999999997</v>
      </c>
      <c r="I16" s="53">
        <v>0.49984000000000001</v>
      </c>
      <c r="J16" s="53">
        <v>0.60124999999999995</v>
      </c>
      <c r="K16" s="53">
        <v>1.5896E-2</v>
      </c>
      <c r="L16" s="53">
        <v>1.6794E-2</v>
      </c>
    </row>
    <row r="17" spans="1:12" x14ac:dyDescent="0.2">
      <c r="A17" s="3">
        <v>45289</v>
      </c>
      <c r="B17" s="3" t="str">
        <f t="shared" si="0"/>
        <v>12-2023</v>
      </c>
      <c r="C17">
        <v>4769.83</v>
      </c>
      <c r="D17" s="52">
        <f t="shared" si="1"/>
        <v>4.2355807230027014E-2</v>
      </c>
      <c r="F17" s="22">
        <v>45289</v>
      </c>
      <c r="G17" s="12">
        <v>4769.83</v>
      </c>
      <c r="H17" s="12">
        <v>4.8524599999999998</v>
      </c>
      <c r="I17" s="53">
        <v>0.47637000000000002</v>
      </c>
      <c r="J17" s="53">
        <v>0.57479999999999998</v>
      </c>
      <c r="K17" s="53">
        <v>4.4228999999999997E-2</v>
      </c>
      <c r="L17" s="53">
        <v>4.5310999999999997E-2</v>
      </c>
    </row>
    <row r="18" spans="1:12" x14ac:dyDescent="0.2">
      <c r="A18" s="3">
        <v>45260</v>
      </c>
      <c r="B18" s="3" t="str">
        <f t="shared" si="0"/>
        <v>11-2023</v>
      </c>
      <c r="C18">
        <v>4567.8</v>
      </c>
      <c r="D18" s="52">
        <f t="shared" si="1"/>
        <v>8.1877490257892205E-2</v>
      </c>
      <c r="F18" s="22">
        <v>45260</v>
      </c>
      <c r="G18" s="12">
        <v>4567.8</v>
      </c>
      <c r="H18" s="12">
        <v>8.8237199999999998</v>
      </c>
      <c r="I18" s="53">
        <v>0.41383999999999999</v>
      </c>
      <c r="J18" s="53">
        <v>0.50653999999999999</v>
      </c>
      <c r="K18" s="53">
        <v>8.9178999999999994E-2</v>
      </c>
      <c r="L18" s="53">
        <v>9.1326000000000004E-2</v>
      </c>
    </row>
    <row r="19" spans="1:12" x14ac:dyDescent="0.2">
      <c r="A19" s="3">
        <v>45230</v>
      </c>
      <c r="B19" s="3" t="str">
        <f t="shared" si="0"/>
        <v>10-2023</v>
      </c>
      <c r="C19">
        <v>4193.8</v>
      </c>
      <c r="D19" s="52">
        <f t="shared" si="1"/>
        <v>-2.2473651580905144E-2</v>
      </c>
      <c r="F19" s="22">
        <v>45230</v>
      </c>
      <c r="G19" s="12">
        <v>4193.8</v>
      </c>
      <c r="H19" s="12">
        <v>4.1613899999999999</v>
      </c>
      <c r="I19" s="53">
        <v>0.29808000000000001</v>
      </c>
      <c r="J19" s="53">
        <v>0.38046000000000002</v>
      </c>
      <c r="K19" s="53">
        <v>-2.198E-2</v>
      </c>
      <c r="L19" s="53">
        <v>-2.1026E-2</v>
      </c>
    </row>
    <row r="20" spans="1:12" x14ac:dyDescent="0.2">
      <c r="A20" s="3">
        <v>45198</v>
      </c>
      <c r="B20" s="3" t="str">
        <f t="shared" si="0"/>
        <v>9-2023</v>
      </c>
      <c r="C20">
        <v>4288.05</v>
      </c>
      <c r="D20" s="52">
        <f t="shared" si="1"/>
        <v>-5.1214421473630124E-2</v>
      </c>
      <c r="F20" s="22">
        <v>45198</v>
      </c>
      <c r="G20" s="12">
        <v>4288.05</v>
      </c>
      <c r="H20" s="12">
        <v>4.8381800000000004</v>
      </c>
      <c r="I20" s="53">
        <v>0.32724999999999999</v>
      </c>
      <c r="J20" s="53">
        <v>0.41010999999999997</v>
      </c>
      <c r="K20" s="53">
        <v>-4.8718999999999998E-2</v>
      </c>
      <c r="L20" s="53">
        <v>-4.7677999999999998E-2</v>
      </c>
    </row>
    <row r="21" spans="1:12" x14ac:dyDescent="0.2">
      <c r="A21" s="3">
        <v>45169</v>
      </c>
      <c r="B21" s="3" t="str">
        <f t="shared" si="0"/>
        <v>8-2023</v>
      </c>
      <c r="C21">
        <v>4507.66</v>
      </c>
      <c r="D21" s="52">
        <f t="shared" si="1"/>
        <v>-1.803596544548617E-2</v>
      </c>
      <c r="F21" s="22">
        <v>45169</v>
      </c>
      <c r="G21" s="12">
        <v>4507.66</v>
      </c>
      <c r="H21" s="12">
        <v>8.1283899999999996</v>
      </c>
      <c r="I21" s="53">
        <v>0.39522000000000002</v>
      </c>
      <c r="J21" s="53">
        <v>0.48071000000000003</v>
      </c>
      <c r="K21" s="53">
        <v>-1.7715999999999999E-2</v>
      </c>
      <c r="L21" s="53">
        <v>-1.5921999999999999E-2</v>
      </c>
    </row>
    <row r="22" spans="1:12" x14ac:dyDescent="0.2">
      <c r="A22" s="3">
        <v>45138</v>
      </c>
      <c r="B22" s="3" t="str">
        <f t="shared" si="0"/>
        <v>7-2023</v>
      </c>
      <c r="C22">
        <v>4588.96</v>
      </c>
      <c r="D22" s="52">
        <f t="shared" si="1"/>
        <v>3.0198563508943187E-2</v>
      </c>
      <c r="F22" s="22">
        <v>45138</v>
      </c>
      <c r="G22" s="12">
        <v>4588.96</v>
      </c>
      <c r="H22" s="12">
        <v>4.28904</v>
      </c>
      <c r="I22" s="53">
        <v>0.42038999999999999</v>
      </c>
      <c r="J22" s="53">
        <v>0.50466999999999995</v>
      </c>
      <c r="K22" s="53">
        <v>3.1139E-2</v>
      </c>
      <c r="L22" s="53">
        <v>3.2125000000000001E-2</v>
      </c>
    </row>
    <row r="23" spans="1:12" x14ac:dyDescent="0.2">
      <c r="A23" s="3">
        <v>45107</v>
      </c>
      <c r="B23" s="3" t="str">
        <f t="shared" si="0"/>
        <v>6-2023</v>
      </c>
      <c r="C23">
        <v>4450.38</v>
      </c>
      <c r="D23" s="52">
        <f t="shared" si="1"/>
        <v>6.0792561534071289E-2</v>
      </c>
      <c r="F23" s="22">
        <v>45107</v>
      </c>
      <c r="G23" s="12">
        <v>4450.38</v>
      </c>
      <c r="H23" s="12">
        <v>5.4899100000000001</v>
      </c>
      <c r="I23" s="53">
        <v>0.37748999999999999</v>
      </c>
      <c r="J23" s="53">
        <v>0.45784000000000002</v>
      </c>
      <c r="K23" s="53">
        <v>6.4727999999999994E-2</v>
      </c>
      <c r="L23" s="53">
        <v>6.6073999999999994E-2</v>
      </c>
    </row>
    <row r="24" spans="1:12" x14ac:dyDescent="0.2">
      <c r="A24" s="3">
        <v>45077</v>
      </c>
      <c r="B24" s="3" t="str">
        <f t="shared" si="0"/>
        <v>5-2023</v>
      </c>
      <c r="C24">
        <v>4179.83</v>
      </c>
      <c r="D24" s="52">
        <f t="shared" si="1"/>
        <v>2.4761772607977748E-3</v>
      </c>
      <c r="F24" s="22">
        <v>45077</v>
      </c>
      <c r="G24" s="12">
        <v>4179.83</v>
      </c>
      <c r="H24" s="12">
        <v>7.7206700000000001</v>
      </c>
      <c r="I24" s="53">
        <v>0.29375000000000001</v>
      </c>
      <c r="J24" s="53">
        <v>0.36747999999999997</v>
      </c>
      <c r="K24" s="53">
        <v>2.4819999999999998E-3</v>
      </c>
      <c r="L24" s="53">
        <v>4.3489999999999996E-3</v>
      </c>
    </row>
    <row r="25" spans="1:12" x14ac:dyDescent="0.2">
      <c r="A25" s="3">
        <v>45044</v>
      </c>
      <c r="B25" s="3" t="str">
        <f t="shared" si="0"/>
        <v>4-2023</v>
      </c>
      <c r="C25">
        <v>4169.4799999999996</v>
      </c>
      <c r="D25" s="52">
        <f t="shared" si="1"/>
        <v>1.4431056150886723E-2</v>
      </c>
      <c r="F25" s="22">
        <v>45044</v>
      </c>
      <c r="G25" s="12">
        <v>4169.4799999999996</v>
      </c>
      <c r="H25" s="12">
        <v>3.9220600000000001</v>
      </c>
      <c r="I25" s="53">
        <v>0.29054999999999997</v>
      </c>
      <c r="J25" s="53">
        <v>0.36155999999999999</v>
      </c>
      <c r="K25" s="53">
        <v>1.4642000000000001E-2</v>
      </c>
      <c r="L25" s="53">
        <v>1.5609E-2</v>
      </c>
    </row>
    <row r="26" spans="1:12" x14ac:dyDescent="0.2">
      <c r="A26" s="3">
        <v>45016</v>
      </c>
      <c r="B26" s="3" t="str">
        <f t="shared" si="0"/>
        <v>3-2023</v>
      </c>
      <c r="C26">
        <v>4109.3100000000004</v>
      </c>
      <c r="D26" s="52">
        <f t="shared" si="1"/>
        <v>3.3864566070702942E-2</v>
      </c>
      <c r="F26" s="22">
        <v>45016</v>
      </c>
      <c r="G26" s="12">
        <v>4109.3100000000004</v>
      </c>
      <c r="H26" s="12">
        <v>6.2924699999999998</v>
      </c>
      <c r="I26" s="53">
        <v>0.27193000000000001</v>
      </c>
      <c r="J26" s="53">
        <v>0.34062999999999999</v>
      </c>
      <c r="K26" s="53">
        <v>3.5052E-2</v>
      </c>
      <c r="L26" s="53">
        <v>3.6695999999999999E-2</v>
      </c>
    </row>
    <row r="27" spans="1:12" x14ac:dyDescent="0.2">
      <c r="A27" s="3">
        <v>44985</v>
      </c>
      <c r="B27" s="3" t="str">
        <f t="shared" si="0"/>
        <v>2-2023</v>
      </c>
      <c r="C27">
        <v>3970.15</v>
      </c>
      <c r="D27" s="52">
        <f t="shared" si="1"/>
        <v>-2.6812588945002033E-2</v>
      </c>
      <c r="F27" s="22">
        <v>44985</v>
      </c>
      <c r="G27" s="12">
        <v>3970.15</v>
      </c>
      <c r="H27" s="12">
        <v>6.8789999999999996</v>
      </c>
      <c r="I27" s="53">
        <v>0.22885</v>
      </c>
      <c r="J27" s="53">
        <v>0.29318</v>
      </c>
      <c r="K27" s="53">
        <v>-2.6112E-2</v>
      </c>
      <c r="L27" s="53">
        <v>-2.4472000000000001E-2</v>
      </c>
    </row>
    <row r="28" spans="1:12" x14ac:dyDescent="0.2">
      <c r="A28" s="3">
        <v>44957</v>
      </c>
      <c r="B28" s="3" t="str">
        <f t="shared" si="0"/>
        <v>1-2023</v>
      </c>
      <c r="C28">
        <v>4076.6</v>
      </c>
      <c r="D28" s="52">
        <f t="shared" si="1"/>
        <v>5.8161212775351988E-2</v>
      </c>
      <c r="F28" s="12" t="s">
        <v>38</v>
      </c>
      <c r="G28" s="54">
        <f t="shared" ref="G28:L28" si="2">AVERAGE(G2:G27)</f>
        <v>5035.5661538461554</v>
      </c>
      <c r="H28" s="54">
        <f t="shared" si="2"/>
        <v>6.0869603846153844</v>
      </c>
      <c r="I28" s="53">
        <f t="shared" si="2"/>
        <v>0.55862269230769224</v>
      </c>
      <c r="J28" s="53">
        <f t="shared" si="2"/>
        <v>0.66853153846153845</v>
      </c>
      <c r="K28" s="53">
        <f t="shared" si="2"/>
        <v>1.3024307692307689E-2</v>
      </c>
      <c r="L28" s="53">
        <f t="shared" si="2"/>
        <v>1.4276730769230769E-2</v>
      </c>
    </row>
    <row r="29" spans="1:12" x14ac:dyDescent="0.2">
      <c r="A29" s="3">
        <v>44925</v>
      </c>
      <c r="B29" s="3" t="str">
        <f t="shared" si="0"/>
        <v>12-2022</v>
      </c>
      <c r="C29">
        <v>3839.5</v>
      </c>
      <c r="D29" s="52">
        <f t="shared" si="1"/>
        <v>-6.2667013934106036E-2</v>
      </c>
      <c r="F29" s="12" t="s">
        <v>91</v>
      </c>
      <c r="G29" s="54">
        <f>_xlfn.STDEV.P(G2:G27)</f>
        <v>669.81903466577091</v>
      </c>
      <c r="H29" s="54">
        <f t="shared" ref="H29:L29" si="3">_xlfn.STDEV.P(H2:H27)</f>
        <v>1.5256996740373054</v>
      </c>
      <c r="I29" s="55">
        <f t="shared" si="3"/>
        <v>0.20732433416041504</v>
      </c>
      <c r="J29" s="55">
        <f t="shared" si="3"/>
        <v>0.23609452715274723</v>
      </c>
      <c r="K29" s="55">
        <f t="shared" si="3"/>
        <v>3.6372436199121602E-2</v>
      </c>
      <c r="L29" s="55">
        <f t="shared" si="3"/>
        <v>3.65126432807951E-2</v>
      </c>
    </row>
    <row r="30" spans="1:12" x14ac:dyDescent="0.2">
      <c r="A30" s="3">
        <v>44895</v>
      </c>
      <c r="B30" s="3" t="str">
        <f t="shared" si="0"/>
        <v>11-2022</v>
      </c>
      <c r="C30">
        <v>4080.11</v>
      </c>
      <c r="D30" s="52">
        <f t="shared" si="1"/>
        <v>5.1010879608638031E-2</v>
      </c>
    </row>
    <row r="31" spans="1:12" x14ac:dyDescent="0.2">
      <c r="A31" s="3">
        <v>44865</v>
      </c>
      <c r="B31" s="3" t="str">
        <f t="shared" si="0"/>
        <v>10-2022</v>
      </c>
      <c r="C31">
        <v>3871.98</v>
      </c>
      <c r="D31" s="52">
        <f t="shared" si="1"/>
        <v>7.3956993579512326E-2</v>
      </c>
    </row>
    <row r="32" spans="1:12" x14ac:dyDescent="0.2">
      <c r="A32" s="3">
        <v>44834</v>
      </c>
      <c r="B32" s="3" t="str">
        <f t="shared" si="0"/>
        <v>9-2022</v>
      </c>
      <c r="C32">
        <v>3585.62</v>
      </c>
      <c r="D32" s="52">
        <f t="shared" si="1"/>
        <v>-0.10301705144438064</v>
      </c>
    </row>
    <row r="33" spans="1:4" x14ac:dyDescent="0.2">
      <c r="A33" s="3">
        <v>44804</v>
      </c>
      <c r="B33" s="3" t="str">
        <f t="shared" si="0"/>
        <v>8-2022</v>
      </c>
      <c r="C33">
        <v>3955</v>
      </c>
      <c r="D33" s="52">
        <f t="shared" si="1"/>
        <v>-4.4321112515802771E-2</v>
      </c>
    </row>
    <row r="34" spans="1:4" x14ac:dyDescent="0.2">
      <c r="A34" s="3">
        <v>44771</v>
      </c>
      <c r="B34" s="3" t="str">
        <f t="shared" si="0"/>
        <v>7-2022</v>
      </c>
      <c r="C34">
        <v>4130.29</v>
      </c>
      <c r="D34" s="52">
        <f t="shared" si="1"/>
        <v>8.3507453471790088E-2</v>
      </c>
    </row>
    <row r="35" spans="1:4" x14ac:dyDescent="0.2">
      <c r="A35" s="3">
        <v>44742</v>
      </c>
      <c r="B35" s="3" t="str">
        <f t="shared" si="0"/>
        <v>6-2022</v>
      </c>
      <c r="C35">
        <v>3785.38</v>
      </c>
      <c r="D35" s="52">
        <f t="shared" si="1"/>
        <v>-9.1607711775303802E-2</v>
      </c>
    </row>
    <row r="36" spans="1:4" x14ac:dyDescent="0.2">
      <c r="A36" s="3">
        <v>44712</v>
      </c>
      <c r="B36" s="3" t="str">
        <f t="shared" si="0"/>
        <v>5-2022</v>
      </c>
      <c r="C36">
        <v>4132.1499999999996</v>
      </c>
      <c r="D36" s="52">
        <f t="shared" si="1"/>
        <v>5.3241048848503849E-5</v>
      </c>
    </row>
    <row r="37" spans="1:4" x14ac:dyDescent="0.2">
      <c r="A37" s="3">
        <v>44680</v>
      </c>
      <c r="B37" s="3" t="str">
        <f t="shared" si="0"/>
        <v>4-2022</v>
      </c>
      <c r="C37">
        <v>4131.93</v>
      </c>
      <c r="D37" s="52">
        <f t="shared" si="1"/>
        <v>-9.6439194274830289E-2</v>
      </c>
    </row>
    <row r="38" spans="1:4" x14ac:dyDescent="0.2">
      <c r="A38" s="3">
        <v>44651</v>
      </c>
      <c r="B38" s="3" t="str">
        <f t="shared" si="0"/>
        <v>3-2022</v>
      </c>
      <c r="C38">
        <v>4530.41</v>
      </c>
      <c r="D38" s="52">
        <f t="shared" si="1"/>
        <v>3.4537712922230054E-2</v>
      </c>
    </row>
    <row r="39" spans="1:4" x14ac:dyDescent="0.2">
      <c r="A39" s="3">
        <v>44620</v>
      </c>
      <c r="B39" s="3" t="str">
        <f t="shared" si="0"/>
        <v>2-2022</v>
      </c>
      <c r="C39">
        <v>4373.9399999999996</v>
      </c>
      <c r="D39" s="52">
        <f t="shared" si="1"/>
        <v>-3.2375844204538838E-2</v>
      </c>
    </row>
    <row r="40" spans="1:4" x14ac:dyDescent="0.2">
      <c r="A40" s="3">
        <v>44592</v>
      </c>
      <c r="B40" s="3" t="str">
        <f t="shared" si="0"/>
        <v>1-2022</v>
      </c>
      <c r="C40">
        <v>4515.55</v>
      </c>
      <c r="D40" s="52">
        <f t="shared" si="1"/>
        <v>-5.5503759231987269E-2</v>
      </c>
    </row>
    <row r="41" spans="1:4" x14ac:dyDescent="0.2">
      <c r="A41" s="3">
        <v>44561</v>
      </c>
      <c r="B41" s="3" t="str">
        <f t="shared" si="0"/>
        <v>12-2021</v>
      </c>
      <c r="C41">
        <v>4766.18</v>
      </c>
      <c r="D41" s="52">
        <f t="shared" si="1"/>
        <v>4.1790280686000165E-2</v>
      </c>
    </row>
    <row r="42" spans="1:4" x14ac:dyDescent="0.2">
      <c r="A42" s="3">
        <v>44530</v>
      </c>
      <c r="B42" s="3" t="str">
        <f t="shared" si="0"/>
        <v>11-2021</v>
      </c>
      <c r="C42">
        <v>4567</v>
      </c>
      <c r="D42" s="52">
        <f t="shared" si="1"/>
        <v>-8.403766148456341E-3</v>
      </c>
    </row>
    <row r="43" spans="1:4" x14ac:dyDescent="0.2">
      <c r="A43" s="3">
        <v>44498</v>
      </c>
      <c r="B43" s="3" t="str">
        <f t="shared" si="0"/>
        <v>10-2021</v>
      </c>
      <c r="C43">
        <v>4605.38</v>
      </c>
      <c r="D43" s="52">
        <f t="shared" si="1"/>
        <v>6.4672187745636656E-2</v>
      </c>
    </row>
    <row r="44" spans="1:4" x14ac:dyDescent="0.2">
      <c r="A44" s="3">
        <v>44469</v>
      </c>
      <c r="B44" s="3" t="str">
        <f t="shared" si="0"/>
        <v>9-2021</v>
      </c>
      <c r="C44">
        <v>4307.54</v>
      </c>
      <c r="D44" s="52">
        <f t="shared" si="1"/>
        <v>-4.9944980197514199E-2</v>
      </c>
    </row>
    <row r="45" spans="1:4" x14ac:dyDescent="0.2">
      <c r="A45" s="3">
        <v>44439</v>
      </c>
      <c r="B45" s="3" t="str">
        <f t="shared" si="0"/>
        <v>8-2021</v>
      </c>
      <c r="C45">
        <v>4522.68</v>
      </c>
      <c r="D45" s="52">
        <f t="shared" si="1"/>
        <v>2.8173560809077819E-2</v>
      </c>
    </row>
    <row r="46" spans="1:4" x14ac:dyDescent="0.2">
      <c r="A46" s="3">
        <v>44407</v>
      </c>
      <c r="B46" s="3" t="str">
        <f t="shared" si="0"/>
        <v>7-2021</v>
      </c>
      <c r="C46">
        <v>4395.26</v>
      </c>
      <c r="D46" s="52">
        <f t="shared" si="1"/>
        <v>2.2242142671878389E-2</v>
      </c>
    </row>
    <row r="47" spans="1:4" x14ac:dyDescent="0.2">
      <c r="A47" s="3">
        <v>44377</v>
      </c>
      <c r="B47" s="3" t="str">
        <f t="shared" si="0"/>
        <v>6-2021</v>
      </c>
      <c r="C47">
        <v>4297.5</v>
      </c>
      <c r="D47" s="52">
        <f t="shared" si="1"/>
        <v>2.1731239092495712E-2</v>
      </c>
    </row>
    <row r="48" spans="1:4" x14ac:dyDescent="0.2">
      <c r="A48" s="3">
        <v>44347</v>
      </c>
      <c r="B48" s="3" t="str">
        <f t="shared" si="0"/>
        <v>5-2021</v>
      </c>
      <c r="C48">
        <v>4204.1099999999997</v>
      </c>
      <c r="D48" s="52">
        <f t="shared" si="1"/>
        <v>5.4565651231769869E-3</v>
      </c>
    </row>
    <row r="49" spans="1:4" x14ac:dyDescent="0.2">
      <c r="A49" s="3">
        <v>44316</v>
      </c>
      <c r="B49" s="3" t="str">
        <f t="shared" si="0"/>
        <v>4-2021</v>
      </c>
      <c r="C49">
        <v>4181.17</v>
      </c>
      <c r="D49" s="52">
        <f t="shared" si="1"/>
        <v>4.9813808096776789E-2</v>
      </c>
    </row>
    <row r="50" spans="1:4" x14ac:dyDescent="0.2">
      <c r="A50" s="3">
        <v>44286</v>
      </c>
      <c r="B50" s="3" t="str">
        <f t="shared" si="0"/>
        <v>3-2021</v>
      </c>
      <c r="C50">
        <v>3972.89</v>
      </c>
      <c r="D50" s="52">
        <f t="shared" si="1"/>
        <v>4.0710918248428672E-2</v>
      </c>
    </row>
    <row r="51" spans="1:4" x14ac:dyDescent="0.2">
      <c r="A51" s="3">
        <v>44253</v>
      </c>
      <c r="B51" s="3" t="str">
        <f t="shared" si="0"/>
        <v>2-2021</v>
      </c>
      <c r="C51">
        <v>3811.15</v>
      </c>
      <c r="D51" s="52">
        <f t="shared" si="1"/>
        <v>2.5428020413785946E-2</v>
      </c>
    </row>
    <row r="52" spans="1:4" x14ac:dyDescent="0.2">
      <c r="A52" s="3">
        <v>44225</v>
      </c>
      <c r="B52" s="3" t="str">
        <f t="shared" si="0"/>
        <v>1-2021</v>
      </c>
      <c r="C52">
        <v>3714.24</v>
      </c>
      <c r="D52" s="52">
        <f t="shared" si="1"/>
        <v>-1.1262061686913172E-2</v>
      </c>
    </row>
    <row r="53" spans="1:4" x14ac:dyDescent="0.2">
      <c r="A53" s="3">
        <v>44196</v>
      </c>
      <c r="B53" s="3" t="str">
        <f t="shared" si="0"/>
        <v>12-2020</v>
      </c>
      <c r="C53">
        <v>3756.07</v>
      </c>
      <c r="D53" s="52">
        <f t="shared" si="1"/>
        <v>3.5792730167435657E-2</v>
      </c>
    </row>
    <row r="54" spans="1:4" x14ac:dyDescent="0.2">
      <c r="A54" s="3">
        <v>44165</v>
      </c>
      <c r="B54" s="3" t="str">
        <f t="shared" si="0"/>
        <v>11-2020</v>
      </c>
      <c r="C54">
        <v>3621.63</v>
      </c>
      <c r="D54" s="52">
        <f t="shared" si="1"/>
        <v>9.7102685807219424E-2</v>
      </c>
    </row>
    <row r="55" spans="1:4" x14ac:dyDescent="0.2">
      <c r="A55" s="3">
        <v>44134</v>
      </c>
      <c r="B55" s="3" t="str">
        <f t="shared" si="0"/>
        <v>10-2020</v>
      </c>
      <c r="C55">
        <v>3269.96</v>
      </c>
      <c r="D55" s="52">
        <f t="shared" si="1"/>
        <v>-2.845294743666588E-2</v>
      </c>
    </row>
    <row r="56" spans="1:4" x14ac:dyDescent="0.2">
      <c r="A56" s="3">
        <v>44104</v>
      </c>
      <c r="B56" s="3" t="str">
        <f t="shared" si="0"/>
        <v>9-2020</v>
      </c>
      <c r="C56">
        <v>3363</v>
      </c>
      <c r="D56" s="52">
        <f t="shared" si="1"/>
        <v>-4.082961641391613E-2</v>
      </c>
    </row>
    <row r="57" spans="1:4" x14ac:dyDescent="0.2">
      <c r="A57" s="3">
        <v>44074</v>
      </c>
      <c r="B57" s="3" t="str">
        <f t="shared" si="0"/>
        <v>8-2020</v>
      </c>
      <c r="C57">
        <v>3500.31</v>
      </c>
      <c r="D57" s="52">
        <f t="shared" si="1"/>
        <v>6.5477057746313919E-2</v>
      </c>
    </row>
    <row r="58" spans="1:4" x14ac:dyDescent="0.2">
      <c r="A58" s="3">
        <v>44043</v>
      </c>
      <c r="B58" s="3" t="str">
        <f t="shared" si="0"/>
        <v>7-2020</v>
      </c>
      <c r="C58">
        <v>3271.12</v>
      </c>
      <c r="D58" s="52">
        <f t="shared" si="1"/>
        <v>5.2223703196458686E-2</v>
      </c>
    </row>
    <row r="59" spans="1:4" x14ac:dyDescent="0.2">
      <c r="A59" s="3">
        <v>44012</v>
      </c>
      <c r="B59" s="3" t="str">
        <f t="shared" si="0"/>
        <v>6-2020</v>
      </c>
      <c r="C59">
        <v>3100.29</v>
      </c>
      <c r="D59" s="52">
        <f t="shared" si="1"/>
        <v>1.8056375371336236E-2</v>
      </c>
    </row>
    <row r="60" spans="1:4" x14ac:dyDescent="0.2">
      <c r="A60" s="3">
        <v>43980</v>
      </c>
      <c r="B60" s="3" t="str">
        <f t="shared" si="0"/>
        <v>5-2020</v>
      </c>
      <c r="C60">
        <v>3044.31</v>
      </c>
      <c r="D60" s="52">
        <f t="shared" si="1"/>
        <v>4.3320161218798385E-2</v>
      </c>
    </row>
    <row r="61" spans="1:4" x14ac:dyDescent="0.2">
      <c r="A61" s="3">
        <v>43951</v>
      </c>
      <c r="B61" s="3" t="str">
        <f t="shared" si="0"/>
        <v>4-2020</v>
      </c>
      <c r="C61">
        <v>2912.43</v>
      </c>
      <c r="D61" s="52">
        <f t="shared" si="1"/>
        <v>0.11256579557276904</v>
      </c>
    </row>
    <row r="62" spans="1:4" x14ac:dyDescent="0.2">
      <c r="A62" s="3">
        <v>43921</v>
      </c>
      <c r="B62" s="3" t="str">
        <f t="shared" si="0"/>
        <v>3-2020</v>
      </c>
      <c r="C62">
        <v>2584.59</v>
      </c>
      <c r="D62" s="52">
        <f t="shared" si="1"/>
        <v>-0.12684410293315368</v>
      </c>
    </row>
    <row r="63" spans="1:4" x14ac:dyDescent="0.2">
      <c r="A63" s="3">
        <v>43951</v>
      </c>
      <c r="B63" s="3" t="str">
        <f t="shared" si="0"/>
        <v>4-2020</v>
      </c>
      <c r="C63">
        <v>2912.43</v>
      </c>
      <c r="D63" s="52">
        <f t="shared" si="1"/>
        <v>0.11256579557276904</v>
      </c>
    </row>
    <row r="64" spans="1:4" x14ac:dyDescent="0.2">
      <c r="A64" s="3">
        <v>43921</v>
      </c>
      <c r="B64" s="3" t="str">
        <f t="shared" si="0"/>
        <v>3-2020</v>
      </c>
      <c r="C64">
        <v>2584.59</v>
      </c>
      <c r="D64" s="52"/>
    </row>
    <row r="65" spans="1:4" x14ac:dyDescent="0.2">
      <c r="A65" s="34" t="s">
        <v>38</v>
      </c>
      <c r="B65" s="34"/>
      <c r="C65" s="34">
        <f>AVERAGE(C2:C64)</f>
        <v>4336.4922222222231</v>
      </c>
      <c r="D65" s="16">
        <f>AVERAGE(D2:D63)</f>
        <v>1.1091016205165376E-2</v>
      </c>
    </row>
    <row r="66" spans="1:4" x14ac:dyDescent="0.2">
      <c r="A66" s="56" t="s">
        <v>15</v>
      </c>
      <c r="B66" s="56"/>
      <c r="C66" s="56">
        <f>_xlfn.STDEV.P(C2:C64)</f>
        <v>850.06792471728193</v>
      </c>
      <c r="D66" s="57">
        <f>_xlfn.STDEV.P(D2:D63)</f>
        <v>5.1744635174576017E-2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ED90-CC7F-4DA3-893D-FE5F7C086C1F}">
  <sheetPr>
    <tabColor theme="7" tint="0.79998168889431442"/>
  </sheetPr>
  <dimension ref="A1:E70"/>
  <sheetViews>
    <sheetView topLeftCell="A59" zoomScale="108" zoomScaleNormal="100" workbookViewId="0">
      <selection activeCell="E69" sqref="E69"/>
    </sheetView>
  </sheetViews>
  <sheetFormatPr baseColWidth="10" defaultColWidth="8.83203125" defaultRowHeight="15" x14ac:dyDescent="0.2"/>
  <cols>
    <col min="1" max="1" width="10.6640625" bestFit="1" customWidth="1"/>
    <col min="2" max="2" width="10.6640625" customWidth="1"/>
    <col min="3" max="3" width="15.5" bestFit="1" customWidth="1"/>
    <col min="4" max="4" width="12.33203125" bestFit="1" customWidth="1"/>
    <col min="5" max="5" width="9.6640625" bestFit="1" customWidth="1"/>
  </cols>
  <sheetData>
    <row r="1" spans="1:5" x14ac:dyDescent="0.2">
      <c r="A1" t="s">
        <v>22</v>
      </c>
      <c r="B1" t="s">
        <v>92</v>
      </c>
    </row>
    <row r="2" spans="1:5" x14ac:dyDescent="0.2">
      <c r="A2" t="s">
        <v>27</v>
      </c>
      <c r="B2" s="2">
        <v>43585</v>
      </c>
    </row>
    <row r="3" spans="1:5" x14ac:dyDescent="0.2">
      <c r="A3" t="s">
        <v>28</v>
      </c>
      <c r="B3" s="2">
        <v>45747</v>
      </c>
    </row>
    <row r="4" spans="1:5" x14ac:dyDescent="0.2">
      <c r="A4" t="s">
        <v>29</v>
      </c>
      <c r="B4" t="s">
        <v>30</v>
      </c>
    </row>
    <row r="6" spans="1:5" x14ac:dyDescent="0.2">
      <c r="A6" s="24" t="s">
        <v>33</v>
      </c>
      <c r="B6" s="25" t="s">
        <v>34</v>
      </c>
      <c r="C6" s="24" t="s">
        <v>35</v>
      </c>
      <c r="D6" s="24" t="s">
        <v>93</v>
      </c>
      <c r="E6" s="25" t="s">
        <v>94</v>
      </c>
    </row>
    <row r="7" spans="1:5" x14ac:dyDescent="0.2">
      <c r="A7" s="3">
        <v>45747</v>
      </c>
      <c r="B7" s="1" t="str">
        <f>_xlfn.CONCAT(MONTH(A7),"-",YEAR(A7))</f>
        <v>3-2025</v>
      </c>
      <c r="C7" s="19">
        <v>4.2053000000000003</v>
      </c>
      <c r="D7" s="19">
        <v>-7.0999999999999994E-2</v>
      </c>
      <c r="E7" s="9">
        <f>C7/(100*12)</f>
        <v>3.504416666666667E-3</v>
      </c>
    </row>
    <row r="8" spans="1:5" x14ac:dyDescent="0.2">
      <c r="A8" s="3">
        <v>45716</v>
      </c>
      <c r="B8" s="1" t="str">
        <f t="shared" ref="B8:B68" si="0">_xlfn.CONCAT(MONTH(A8),"-",YEAR(A8))</f>
        <v>2-2025</v>
      </c>
      <c r="C8" s="19">
        <v>4.2081999999999997</v>
      </c>
      <c r="D8" s="19">
        <v>-7.2812999999999999</v>
      </c>
      <c r="E8" s="9">
        <f t="shared" ref="E8:E68" si="1">C8/(100*12)</f>
        <v>3.5068333333333332E-3</v>
      </c>
    </row>
    <row r="9" spans="1:5" x14ac:dyDescent="0.2">
      <c r="A9" s="3">
        <v>45688</v>
      </c>
      <c r="B9" s="1" t="str">
        <f t="shared" si="0"/>
        <v>1-2025</v>
      </c>
      <c r="C9" s="19">
        <v>4.5387000000000004</v>
      </c>
      <c r="D9" s="19">
        <v>-0.6623</v>
      </c>
      <c r="E9" s="9">
        <f t="shared" si="1"/>
        <v>3.7822500000000005E-3</v>
      </c>
    </row>
    <row r="10" spans="1:5" x14ac:dyDescent="0.2">
      <c r="A10" s="3">
        <v>45657</v>
      </c>
      <c r="B10" s="1" t="str">
        <f t="shared" si="0"/>
        <v>12-2024</v>
      </c>
      <c r="C10" s="19">
        <v>4.569</v>
      </c>
      <c r="D10" s="19">
        <v>9.6061999999999994</v>
      </c>
      <c r="E10" s="9">
        <f t="shared" si="1"/>
        <v>3.8075000000000001E-3</v>
      </c>
    </row>
    <row r="11" spans="1:5" x14ac:dyDescent="0.2">
      <c r="A11" s="3">
        <v>45625</v>
      </c>
      <c r="B11" s="1" t="str">
        <f t="shared" si="0"/>
        <v>11-2024</v>
      </c>
      <c r="C11" s="19">
        <v>4.1684999999999999</v>
      </c>
      <c r="D11" s="19">
        <v>-2.7035999999999998</v>
      </c>
      <c r="E11" s="9">
        <f t="shared" si="1"/>
        <v>3.4737499999999998E-3</v>
      </c>
    </row>
    <row r="12" spans="1:5" x14ac:dyDescent="0.2">
      <c r="A12" s="3">
        <v>45596</v>
      </c>
      <c r="B12" s="1" t="str">
        <f t="shared" si="0"/>
        <v>10-2024</v>
      </c>
      <c r="C12" s="19">
        <v>4.2843999999999998</v>
      </c>
      <c r="D12" s="19">
        <v>13.315200000000001</v>
      </c>
      <c r="E12" s="9">
        <f t="shared" si="1"/>
        <v>3.5703333333333333E-3</v>
      </c>
    </row>
    <row r="13" spans="1:5" x14ac:dyDescent="0.2">
      <c r="A13" s="3">
        <v>45565</v>
      </c>
      <c r="B13" s="1" t="str">
        <f t="shared" si="0"/>
        <v>9-2024</v>
      </c>
      <c r="C13" s="19">
        <v>3.7808999999999999</v>
      </c>
      <c r="D13" s="19">
        <v>-3.1385999999999998</v>
      </c>
      <c r="E13" s="9">
        <f t="shared" si="1"/>
        <v>3.1507499999999999E-3</v>
      </c>
    </row>
    <row r="14" spans="1:5" x14ac:dyDescent="0.2">
      <c r="A14" s="3">
        <v>45534</v>
      </c>
      <c r="B14" s="1" t="str">
        <f t="shared" si="0"/>
        <v>8-2024</v>
      </c>
      <c r="C14" s="19">
        <v>3.9034</v>
      </c>
      <c r="D14" s="19">
        <v>-3.1309999999999998</v>
      </c>
      <c r="E14" s="9">
        <f t="shared" si="1"/>
        <v>3.2528333333333333E-3</v>
      </c>
    </row>
    <row r="15" spans="1:5" x14ac:dyDescent="0.2">
      <c r="A15" s="3">
        <v>45504</v>
      </c>
      <c r="B15" s="1" t="str">
        <f t="shared" si="0"/>
        <v>7-2024</v>
      </c>
      <c r="C15" s="19">
        <v>4.0296000000000003</v>
      </c>
      <c r="D15" s="19">
        <v>-8.3362999999999996</v>
      </c>
      <c r="E15" s="9">
        <f t="shared" si="1"/>
        <v>3.3580000000000003E-3</v>
      </c>
    </row>
    <row r="16" spans="1:5" x14ac:dyDescent="0.2">
      <c r="A16" s="3">
        <v>45471</v>
      </c>
      <c r="B16" s="1" t="str">
        <f t="shared" si="0"/>
        <v>6-2024</v>
      </c>
      <c r="C16" s="19">
        <v>4.3960999999999997</v>
      </c>
      <c r="D16" s="19">
        <v>-2.2776999999999998</v>
      </c>
      <c r="E16" s="9">
        <f t="shared" si="1"/>
        <v>3.6634166666666664E-3</v>
      </c>
    </row>
    <row r="17" spans="1:5" x14ac:dyDescent="0.2">
      <c r="A17" s="3">
        <v>45443</v>
      </c>
      <c r="B17" s="1" t="str">
        <f t="shared" si="0"/>
        <v>5-2024</v>
      </c>
      <c r="C17" s="19">
        <v>4.4984999999999999</v>
      </c>
      <c r="D17" s="19">
        <v>-3.8738000000000001</v>
      </c>
      <c r="E17" s="9">
        <f t="shared" si="1"/>
        <v>3.7487499999999999E-3</v>
      </c>
    </row>
    <row r="18" spans="1:5" x14ac:dyDescent="0.2">
      <c r="A18" s="3">
        <v>45412</v>
      </c>
      <c r="B18" s="1" t="str">
        <f t="shared" si="0"/>
        <v>4-2024</v>
      </c>
      <c r="C18" s="19">
        <v>4.6798000000000002</v>
      </c>
      <c r="D18" s="19">
        <v>11.4161</v>
      </c>
      <c r="E18" s="9">
        <f t="shared" si="1"/>
        <v>3.8998333333333333E-3</v>
      </c>
    </row>
    <row r="19" spans="1:5" x14ac:dyDescent="0.2">
      <c r="A19" s="3">
        <v>45380</v>
      </c>
      <c r="B19" s="1" t="str">
        <f t="shared" si="0"/>
        <v>3-2024</v>
      </c>
      <c r="C19" s="19">
        <v>4.2003000000000004</v>
      </c>
      <c r="D19" s="19">
        <v>-1.1726000000000001</v>
      </c>
      <c r="E19" s="9">
        <f t="shared" si="1"/>
        <v>3.5002500000000003E-3</v>
      </c>
    </row>
    <row r="20" spans="1:5" x14ac:dyDescent="0.2">
      <c r="A20" s="3">
        <v>45351</v>
      </c>
      <c r="B20" s="1" t="str">
        <f t="shared" si="0"/>
        <v>2-2024</v>
      </c>
      <c r="C20" s="19">
        <v>4.2502000000000004</v>
      </c>
      <c r="D20" s="19">
        <v>8.6340000000000003</v>
      </c>
      <c r="E20" s="9">
        <f t="shared" si="1"/>
        <v>3.5418333333333339E-3</v>
      </c>
    </row>
    <row r="21" spans="1:5" x14ac:dyDescent="0.2">
      <c r="A21" s="3">
        <v>45322</v>
      </c>
      <c r="B21" s="1" t="str">
        <f t="shared" si="0"/>
        <v>1-2024</v>
      </c>
      <c r="C21" s="19">
        <v>3.9123999999999999</v>
      </c>
      <c r="D21" s="19">
        <v>0.85880000000000001</v>
      </c>
      <c r="E21" s="9">
        <f t="shared" si="1"/>
        <v>3.2603333333333334E-3</v>
      </c>
    </row>
    <row r="22" spans="1:5" x14ac:dyDescent="0.2">
      <c r="A22" s="3">
        <v>45289</v>
      </c>
      <c r="B22" s="1" t="str">
        <f t="shared" si="0"/>
        <v>12-2023</v>
      </c>
      <c r="C22" s="19">
        <v>3.8791000000000002</v>
      </c>
      <c r="D22" s="19">
        <v>-10.3392</v>
      </c>
      <c r="E22" s="9">
        <f t="shared" si="1"/>
        <v>3.2325833333333334E-3</v>
      </c>
    </row>
    <row r="23" spans="1:5" x14ac:dyDescent="0.2">
      <c r="A23" s="3">
        <v>45260</v>
      </c>
      <c r="B23" s="1" t="str">
        <f t="shared" si="0"/>
        <v>11-2023</v>
      </c>
      <c r="C23" s="19">
        <v>4.3263999999999996</v>
      </c>
      <c r="D23" s="19">
        <v>-12.256600000000001</v>
      </c>
      <c r="E23" s="9">
        <f t="shared" si="1"/>
        <v>3.6053333333333328E-3</v>
      </c>
    </row>
    <row r="24" spans="1:5" x14ac:dyDescent="0.2">
      <c r="A24" s="3">
        <v>45230</v>
      </c>
      <c r="B24" s="1" t="str">
        <f t="shared" si="0"/>
        <v>10-2023</v>
      </c>
      <c r="C24" s="19">
        <v>4.9306999999999999</v>
      </c>
      <c r="D24" s="19">
        <v>7.8666</v>
      </c>
      <c r="E24" s="9">
        <f t="shared" si="1"/>
        <v>4.108916666666667E-3</v>
      </c>
    </row>
    <row r="25" spans="1:5" x14ac:dyDescent="0.2">
      <c r="A25" s="3">
        <v>45198</v>
      </c>
      <c r="B25" s="1" t="str">
        <f t="shared" si="0"/>
        <v>9-2023</v>
      </c>
      <c r="C25" s="19">
        <v>4.5711000000000004</v>
      </c>
      <c r="D25" s="19">
        <v>11.27</v>
      </c>
      <c r="E25" s="9">
        <f t="shared" si="1"/>
        <v>3.8092500000000001E-3</v>
      </c>
    </row>
    <row r="26" spans="1:5" x14ac:dyDescent="0.2">
      <c r="A26" s="3">
        <v>45169</v>
      </c>
      <c r="B26" s="1" t="str">
        <f t="shared" si="0"/>
        <v>8-2023</v>
      </c>
      <c r="C26" s="19">
        <v>4.1081000000000003</v>
      </c>
      <c r="D26" s="19">
        <v>3.7728999999999999</v>
      </c>
      <c r="E26" s="9">
        <f t="shared" si="1"/>
        <v>3.4234166666666671E-3</v>
      </c>
    </row>
    <row r="27" spans="1:5" x14ac:dyDescent="0.2">
      <c r="A27" s="3">
        <v>45138</v>
      </c>
      <c r="B27" s="1" t="str">
        <f t="shared" si="0"/>
        <v>7-2023</v>
      </c>
      <c r="C27" s="19">
        <v>3.9588000000000001</v>
      </c>
      <c r="D27" s="19">
        <v>3.1829000000000001</v>
      </c>
      <c r="E27" s="9">
        <f t="shared" si="1"/>
        <v>3.2990000000000003E-3</v>
      </c>
    </row>
    <row r="28" spans="1:5" x14ac:dyDescent="0.2">
      <c r="A28" s="3">
        <v>45107</v>
      </c>
      <c r="B28" s="1" t="str">
        <f t="shared" si="0"/>
        <v>6-2023</v>
      </c>
      <c r="C28" s="19">
        <v>3.8367</v>
      </c>
      <c r="D28" s="19">
        <v>5.3273000000000001</v>
      </c>
      <c r="E28" s="9">
        <f t="shared" si="1"/>
        <v>3.19725E-3</v>
      </c>
    </row>
    <row r="29" spans="1:5" x14ac:dyDescent="0.2">
      <c r="A29" s="3">
        <v>45077</v>
      </c>
      <c r="B29" s="1" t="str">
        <f t="shared" si="0"/>
        <v>5-2023</v>
      </c>
      <c r="C29" s="19">
        <v>3.6425999999999998</v>
      </c>
      <c r="D29" s="19">
        <v>6.4459</v>
      </c>
      <c r="E29" s="9">
        <f t="shared" si="1"/>
        <v>3.0355E-3</v>
      </c>
    </row>
    <row r="30" spans="1:5" x14ac:dyDescent="0.2">
      <c r="A30" s="3">
        <v>45044</v>
      </c>
      <c r="B30" s="1" t="str">
        <f t="shared" si="0"/>
        <v>4-2023</v>
      </c>
      <c r="C30" s="19">
        <v>3.4220000000000002</v>
      </c>
      <c r="D30" s="19">
        <v>-1.3156000000000001</v>
      </c>
      <c r="E30" s="9">
        <f t="shared" si="1"/>
        <v>2.8516666666666668E-3</v>
      </c>
    </row>
    <row r="31" spans="1:5" x14ac:dyDescent="0.2">
      <c r="A31" s="3">
        <v>45016</v>
      </c>
      <c r="B31" s="1" t="str">
        <f t="shared" si="0"/>
        <v>3-2023</v>
      </c>
      <c r="C31" s="19">
        <v>3.4676</v>
      </c>
      <c r="D31" s="19">
        <v>-11.540100000000001</v>
      </c>
      <c r="E31" s="9">
        <f t="shared" si="1"/>
        <v>2.8896666666666667E-3</v>
      </c>
    </row>
    <row r="32" spans="1:5" x14ac:dyDescent="0.2">
      <c r="A32" s="3">
        <v>44985</v>
      </c>
      <c r="B32" s="1" t="str">
        <f t="shared" si="0"/>
        <v>2-2023</v>
      </c>
      <c r="C32" s="19">
        <v>3.92</v>
      </c>
      <c r="D32" s="19">
        <v>11.781499999999999</v>
      </c>
      <c r="E32" s="9">
        <f t="shared" si="1"/>
        <v>3.2666666666666664E-3</v>
      </c>
    </row>
    <row r="33" spans="1:5" x14ac:dyDescent="0.2">
      <c r="A33" s="3">
        <v>44957</v>
      </c>
      <c r="B33" s="1" t="str">
        <f t="shared" si="0"/>
        <v>1-2023</v>
      </c>
      <c r="C33" s="19">
        <v>3.5068999999999999</v>
      </c>
      <c r="D33" s="19">
        <v>-9.4955999999999996</v>
      </c>
      <c r="E33" s="9">
        <f t="shared" si="1"/>
        <v>2.9224166666666665E-3</v>
      </c>
    </row>
    <row r="34" spans="1:5" x14ac:dyDescent="0.2">
      <c r="A34" s="3">
        <v>44925</v>
      </c>
      <c r="B34" s="1" t="str">
        <f t="shared" si="0"/>
        <v>12-2022</v>
      </c>
      <c r="C34" s="19">
        <v>3.8748</v>
      </c>
      <c r="D34" s="19">
        <v>7.4711999999999996</v>
      </c>
      <c r="E34" s="9">
        <f t="shared" si="1"/>
        <v>3.2290000000000001E-3</v>
      </c>
    </row>
    <row r="35" spans="1:5" x14ac:dyDescent="0.2">
      <c r="A35" s="3">
        <v>44895</v>
      </c>
      <c r="B35" s="1" t="str">
        <f t="shared" si="0"/>
        <v>11-2022</v>
      </c>
      <c r="C35" s="19">
        <v>3.6053999999999999</v>
      </c>
      <c r="D35" s="19">
        <v>-10.929</v>
      </c>
      <c r="E35" s="9">
        <f t="shared" si="1"/>
        <v>3.0044999999999998E-3</v>
      </c>
    </row>
    <row r="36" spans="1:5" x14ac:dyDescent="0.2">
      <c r="A36" s="3">
        <v>44865</v>
      </c>
      <c r="B36" s="1" t="str">
        <f t="shared" si="0"/>
        <v>10-2022</v>
      </c>
      <c r="C36" s="19">
        <v>4.0477999999999996</v>
      </c>
      <c r="D36" s="19">
        <v>5.7247000000000003</v>
      </c>
      <c r="E36" s="9">
        <f t="shared" si="1"/>
        <v>3.3731666666666662E-3</v>
      </c>
    </row>
    <row r="37" spans="1:5" x14ac:dyDescent="0.2">
      <c r="A37" s="3">
        <v>44834</v>
      </c>
      <c r="B37" s="1" t="str">
        <f t="shared" si="0"/>
        <v>9-2022</v>
      </c>
      <c r="C37" s="19">
        <v>3.8285999999999998</v>
      </c>
      <c r="D37" s="19">
        <v>19.9208</v>
      </c>
      <c r="E37" s="9">
        <f t="shared" si="1"/>
        <v>3.1904999999999998E-3</v>
      </c>
    </row>
    <row r="38" spans="1:5" x14ac:dyDescent="0.2">
      <c r="A38" s="3">
        <v>44804</v>
      </c>
      <c r="B38" s="1" t="str">
        <f t="shared" si="0"/>
        <v>8-2022</v>
      </c>
      <c r="C38" s="19">
        <v>3.1926000000000001</v>
      </c>
      <c r="D38" s="19">
        <v>20.5351</v>
      </c>
      <c r="E38" s="9">
        <f t="shared" si="1"/>
        <v>2.6605000000000001E-3</v>
      </c>
    </row>
    <row r="39" spans="1:5" x14ac:dyDescent="0.2">
      <c r="A39" s="3">
        <v>44771</v>
      </c>
      <c r="B39" s="1" t="str">
        <f t="shared" si="0"/>
        <v>7-2022</v>
      </c>
      <c r="C39" s="19">
        <v>2.6486999999999998</v>
      </c>
      <c r="D39" s="19">
        <v>-12.0867</v>
      </c>
      <c r="E39" s="9">
        <f t="shared" si="1"/>
        <v>2.20725E-3</v>
      </c>
    </row>
    <row r="40" spans="1:5" x14ac:dyDescent="0.2">
      <c r="A40" s="3">
        <v>44742</v>
      </c>
      <c r="B40" s="1" t="str">
        <f t="shared" si="0"/>
        <v>6-2022</v>
      </c>
      <c r="C40" s="19">
        <v>3.0129000000000001</v>
      </c>
      <c r="D40" s="19">
        <v>5.9352999999999998</v>
      </c>
      <c r="E40" s="9">
        <f t="shared" si="1"/>
        <v>2.51075E-3</v>
      </c>
    </row>
    <row r="41" spans="1:5" x14ac:dyDescent="0.2">
      <c r="A41" s="3">
        <v>44712</v>
      </c>
      <c r="B41" s="1" t="str">
        <f t="shared" si="0"/>
        <v>5-2022</v>
      </c>
      <c r="C41" s="19">
        <v>2.8441000000000001</v>
      </c>
      <c r="D41" s="19">
        <v>-3.0505</v>
      </c>
      <c r="E41" s="9">
        <f t="shared" si="1"/>
        <v>2.3700833333333334E-3</v>
      </c>
    </row>
    <row r="42" spans="1:5" x14ac:dyDescent="0.2">
      <c r="A42" s="3">
        <v>44680</v>
      </c>
      <c r="B42" s="1" t="str">
        <f t="shared" si="0"/>
        <v>4-2022</v>
      </c>
      <c r="C42" s="19">
        <v>2.9336000000000002</v>
      </c>
      <c r="D42" s="19">
        <v>25.4756</v>
      </c>
      <c r="E42" s="9">
        <f t="shared" si="1"/>
        <v>2.444666666666667E-3</v>
      </c>
    </row>
    <row r="43" spans="1:5" x14ac:dyDescent="0.2">
      <c r="A43" s="3">
        <v>44651</v>
      </c>
      <c r="B43" s="1" t="str">
        <f t="shared" si="0"/>
        <v>3-2022</v>
      </c>
      <c r="C43" s="19">
        <v>2.3380000000000001</v>
      </c>
      <c r="D43" s="19">
        <v>28.106200000000001</v>
      </c>
      <c r="E43" s="9">
        <f t="shared" si="1"/>
        <v>1.9483333333333334E-3</v>
      </c>
    </row>
    <row r="44" spans="1:5" x14ac:dyDescent="0.2">
      <c r="A44" s="3">
        <v>44620</v>
      </c>
      <c r="B44" s="1" t="str">
        <f t="shared" si="0"/>
        <v>2-2022</v>
      </c>
      <c r="C44" s="19">
        <v>1.825</v>
      </c>
      <c r="D44" s="19">
        <v>2.7202999999999999</v>
      </c>
      <c r="E44" s="9">
        <f t="shared" si="1"/>
        <v>1.5208333333333332E-3</v>
      </c>
    </row>
    <row r="45" spans="1:5" x14ac:dyDescent="0.2">
      <c r="A45" s="3">
        <v>44592</v>
      </c>
      <c r="B45" s="1" t="str">
        <f t="shared" si="0"/>
        <v>1-2022</v>
      </c>
      <c r="C45" s="19">
        <v>1.7766999999999999</v>
      </c>
      <c r="D45" s="19">
        <v>17.653300000000002</v>
      </c>
      <c r="E45" s="9">
        <f t="shared" si="1"/>
        <v>1.4805833333333333E-3</v>
      </c>
    </row>
    <row r="46" spans="1:5" x14ac:dyDescent="0.2">
      <c r="A46" s="3">
        <v>44561</v>
      </c>
      <c r="B46" s="1" t="str">
        <f t="shared" si="0"/>
        <v>12-2021</v>
      </c>
      <c r="C46" s="19">
        <v>1.5101</v>
      </c>
      <c r="D46" s="19">
        <v>4.5560999999999998</v>
      </c>
      <c r="E46" s="9">
        <f t="shared" si="1"/>
        <v>1.2584166666666666E-3</v>
      </c>
    </row>
    <row r="47" spans="1:5" x14ac:dyDescent="0.2">
      <c r="A47" s="3">
        <v>44530</v>
      </c>
      <c r="B47" s="1" t="str">
        <f t="shared" si="0"/>
        <v>11-2021</v>
      </c>
      <c r="C47" s="19">
        <v>1.4442999999999999</v>
      </c>
      <c r="D47" s="19">
        <v>-6.9477000000000002</v>
      </c>
      <c r="E47" s="9">
        <f t="shared" si="1"/>
        <v>1.2035833333333332E-3</v>
      </c>
    </row>
    <row r="48" spans="1:5" x14ac:dyDescent="0.2">
      <c r="A48" s="3">
        <v>44498</v>
      </c>
      <c r="B48" s="1" t="str">
        <f t="shared" si="0"/>
        <v>10-2021</v>
      </c>
      <c r="C48" s="19">
        <v>1.5521</v>
      </c>
      <c r="D48" s="19">
        <v>4.3582000000000001</v>
      </c>
      <c r="E48" s="9">
        <f t="shared" si="1"/>
        <v>1.2934166666666667E-3</v>
      </c>
    </row>
    <row r="49" spans="1:5" x14ac:dyDescent="0.2">
      <c r="A49" s="3">
        <v>44469</v>
      </c>
      <c r="B49" s="1" t="str">
        <f t="shared" si="0"/>
        <v>9-2021</v>
      </c>
      <c r="C49" s="19">
        <v>1.4873000000000001</v>
      </c>
      <c r="D49" s="19">
        <v>13.642899999999999</v>
      </c>
      <c r="E49" s="9">
        <f t="shared" si="1"/>
        <v>1.2394166666666667E-3</v>
      </c>
    </row>
    <row r="50" spans="1:5" x14ac:dyDescent="0.2">
      <c r="A50" s="3">
        <v>44439</v>
      </c>
      <c r="B50" s="1" t="str">
        <f t="shared" si="0"/>
        <v>8-2021</v>
      </c>
      <c r="C50" s="19">
        <v>1.3088</v>
      </c>
      <c r="D50" s="19">
        <v>7.0768000000000004</v>
      </c>
      <c r="E50" s="9">
        <f t="shared" si="1"/>
        <v>1.0906666666666667E-3</v>
      </c>
    </row>
    <row r="51" spans="1:5" x14ac:dyDescent="0.2">
      <c r="A51" s="3">
        <v>44407</v>
      </c>
      <c r="B51" s="1" t="str">
        <f t="shared" si="0"/>
        <v>7-2021</v>
      </c>
      <c r="C51" s="19">
        <v>1.2222999999999999</v>
      </c>
      <c r="D51" s="19">
        <v>-16.739100000000001</v>
      </c>
      <c r="E51" s="9">
        <f t="shared" si="1"/>
        <v>1.0185833333333334E-3</v>
      </c>
    </row>
    <row r="52" spans="1:5" x14ac:dyDescent="0.2">
      <c r="A52" s="3">
        <v>44377</v>
      </c>
      <c r="B52" s="1" t="str">
        <f t="shared" si="0"/>
        <v>6-2021</v>
      </c>
      <c r="C52" s="19">
        <v>1.468</v>
      </c>
      <c r="D52" s="19">
        <v>-7.9226999999999999</v>
      </c>
      <c r="E52" s="9">
        <f t="shared" si="1"/>
        <v>1.2233333333333332E-3</v>
      </c>
    </row>
    <row r="53" spans="1:5" x14ac:dyDescent="0.2">
      <c r="A53" s="3">
        <v>44347</v>
      </c>
      <c r="B53" s="1" t="str">
        <f t="shared" si="0"/>
        <v>5-2021</v>
      </c>
      <c r="C53" s="19">
        <v>1.5943000000000001</v>
      </c>
      <c r="D53" s="19">
        <v>-1.9414</v>
      </c>
      <c r="E53" s="9">
        <f t="shared" si="1"/>
        <v>1.3285833333333333E-3</v>
      </c>
    </row>
    <row r="54" spans="1:5" x14ac:dyDescent="0.2">
      <c r="A54" s="3">
        <v>44316</v>
      </c>
      <c r="B54" s="1" t="str">
        <f t="shared" si="0"/>
        <v>4-2021</v>
      </c>
      <c r="C54" s="19">
        <v>1.6258999999999999</v>
      </c>
      <c r="D54" s="19">
        <v>-6.5827999999999998</v>
      </c>
      <c r="E54" s="9">
        <f t="shared" si="1"/>
        <v>1.3549166666666666E-3</v>
      </c>
    </row>
    <row r="55" spans="1:5" x14ac:dyDescent="0.2">
      <c r="A55" s="3">
        <v>44286</v>
      </c>
      <c r="B55" s="1" t="str">
        <f t="shared" si="0"/>
        <v>3-2021</v>
      </c>
      <c r="C55" s="19">
        <v>1.7403999999999999</v>
      </c>
      <c r="D55" s="19">
        <v>23.8811</v>
      </c>
      <c r="E55" s="9">
        <f t="shared" si="1"/>
        <v>1.4503333333333332E-3</v>
      </c>
    </row>
    <row r="56" spans="1:5" x14ac:dyDescent="0.2">
      <c r="A56" s="3">
        <v>44253</v>
      </c>
      <c r="B56" s="1" t="str">
        <f t="shared" si="0"/>
        <v>2-2021</v>
      </c>
      <c r="C56" s="19">
        <v>1.4049</v>
      </c>
      <c r="D56" s="19">
        <v>31.8596</v>
      </c>
      <c r="E56" s="9">
        <f t="shared" si="1"/>
        <v>1.1707500000000001E-3</v>
      </c>
    </row>
    <row r="57" spans="1:5" x14ac:dyDescent="0.2">
      <c r="A57" s="3">
        <v>44225</v>
      </c>
      <c r="B57" s="1" t="str">
        <f t="shared" si="0"/>
        <v>1-2021</v>
      </c>
      <c r="C57" s="19">
        <v>1.0654999999999999</v>
      </c>
      <c r="D57" s="19">
        <v>16.6783</v>
      </c>
      <c r="E57" s="9">
        <f t="shared" si="1"/>
        <v>8.8791666666666663E-4</v>
      </c>
    </row>
    <row r="58" spans="1:5" x14ac:dyDescent="0.2">
      <c r="A58" s="3">
        <v>44196</v>
      </c>
      <c r="B58" s="1" t="str">
        <f t="shared" si="0"/>
        <v>12-2020</v>
      </c>
      <c r="C58" s="19">
        <v>0.91320000000000001</v>
      </c>
      <c r="D58" s="19">
        <v>8.8491</v>
      </c>
      <c r="E58" s="9">
        <f t="shared" si="1"/>
        <v>7.6099999999999996E-4</v>
      </c>
    </row>
    <row r="59" spans="1:5" x14ac:dyDescent="0.2">
      <c r="A59" s="3">
        <v>44165</v>
      </c>
      <c r="B59" s="1" t="str">
        <f t="shared" si="0"/>
        <v>11-2020</v>
      </c>
      <c r="C59" s="19">
        <v>0.83889999999999998</v>
      </c>
      <c r="D59" s="19">
        <v>-3.9836</v>
      </c>
      <c r="E59" s="9">
        <f t="shared" si="1"/>
        <v>6.9908333333333335E-4</v>
      </c>
    </row>
    <row r="60" spans="1:5" x14ac:dyDescent="0.2">
      <c r="A60" s="3">
        <v>44134</v>
      </c>
      <c r="B60" s="1" t="str">
        <f t="shared" si="0"/>
        <v>10-2020</v>
      </c>
      <c r="C60" s="19">
        <v>0.87370000000000003</v>
      </c>
      <c r="D60" s="19">
        <v>27.737500000000001</v>
      </c>
      <c r="E60" s="9">
        <f t="shared" si="1"/>
        <v>7.280833333333334E-4</v>
      </c>
    </row>
    <row r="61" spans="1:5" x14ac:dyDescent="0.2">
      <c r="A61" s="3">
        <v>44104</v>
      </c>
      <c r="B61" s="1" t="str">
        <f t="shared" si="0"/>
        <v>9-2020</v>
      </c>
      <c r="C61" s="19">
        <v>0.68400000000000005</v>
      </c>
      <c r="D61" s="19">
        <v>-2.9468000000000001</v>
      </c>
      <c r="E61" s="9">
        <f t="shared" si="1"/>
        <v>5.7000000000000009E-4</v>
      </c>
    </row>
    <row r="62" spans="1:5" x14ac:dyDescent="0.2">
      <c r="A62" s="3">
        <v>44074</v>
      </c>
      <c r="B62" s="1" t="str">
        <f t="shared" si="0"/>
        <v>8-2020</v>
      </c>
      <c r="C62" s="19">
        <v>0.70479999999999998</v>
      </c>
      <c r="D62" s="19">
        <v>33.436799999999998</v>
      </c>
      <c r="E62" s="9">
        <f t="shared" si="1"/>
        <v>5.8733333333333337E-4</v>
      </c>
    </row>
    <row r="63" spans="1:5" x14ac:dyDescent="0.2">
      <c r="A63" s="3">
        <v>44043</v>
      </c>
      <c r="B63" s="1" t="str">
        <f t="shared" si="0"/>
        <v>7-2020</v>
      </c>
      <c r="C63" s="19">
        <v>0.5282</v>
      </c>
      <c r="D63" s="19">
        <v>-19.497399999999999</v>
      </c>
      <c r="E63" s="9">
        <f t="shared" si="1"/>
        <v>4.4016666666666667E-4</v>
      </c>
    </row>
    <row r="64" spans="1:5" x14ac:dyDescent="0.2">
      <c r="A64" s="3">
        <v>44012</v>
      </c>
      <c r="B64" s="1" t="str">
        <f t="shared" si="0"/>
        <v>6-2020</v>
      </c>
      <c r="C64" s="19">
        <v>0.65610000000000002</v>
      </c>
      <c r="D64" s="19">
        <v>0.53539999999999999</v>
      </c>
      <c r="E64" s="9">
        <f t="shared" si="1"/>
        <v>5.4675000000000004E-4</v>
      </c>
    </row>
    <row r="65" spans="1:5" x14ac:dyDescent="0.2">
      <c r="A65" s="3">
        <v>43980</v>
      </c>
      <c r="B65" s="1" t="str">
        <f t="shared" si="0"/>
        <v>5-2020</v>
      </c>
      <c r="C65" s="19">
        <v>0.65259999999999996</v>
      </c>
      <c r="D65" s="19">
        <v>2.0838999999999999</v>
      </c>
      <c r="E65" s="9">
        <f t="shared" si="1"/>
        <v>5.4383333333333334E-4</v>
      </c>
    </row>
    <row r="66" spans="1:5" x14ac:dyDescent="0.2">
      <c r="A66" s="3">
        <v>43951</v>
      </c>
      <c r="B66" s="1" t="str">
        <f t="shared" si="0"/>
        <v>4-2020</v>
      </c>
      <c r="C66" s="19">
        <v>0.63929999999999998</v>
      </c>
      <c r="D66" s="19">
        <v>-4.5134999999999996</v>
      </c>
      <c r="E66" s="9">
        <f t="shared" si="1"/>
        <v>5.3275000000000002E-4</v>
      </c>
    </row>
    <row r="67" spans="1:5" x14ac:dyDescent="0.2">
      <c r="A67" s="3">
        <v>43921</v>
      </c>
      <c r="B67" s="1" t="str">
        <f t="shared" si="0"/>
        <v>3-2020</v>
      </c>
      <c r="C67" s="19">
        <v>0.66949999999999998</v>
      </c>
      <c r="D67" s="19">
        <v>-41.7117</v>
      </c>
      <c r="E67" s="9">
        <f t="shared" si="1"/>
        <v>5.5791666666666663E-4</v>
      </c>
    </row>
    <row r="68" spans="1:5" x14ac:dyDescent="0.2">
      <c r="A68" s="3">
        <v>43889</v>
      </c>
      <c r="B68" s="1" t="str">
        <f t="shared" si="0"/>
        <v>2-2020</v>
      </c>
      <c r="C68" s="19">
        <v>1.1486000000000001</v>
      </c>
      <c r="D68" s="19">
        <v>-23.772300000000001</v>
      </c>
      <c r="E68" s="9">
        <f t="shared" si="1"/>
        <v>9.5716666666666671E-4</v>
      </c>
    </row>
    <row r="69" spans="1:5" x14ac:dyDescent="0.2">
      <c r="B69" s="33" t="s">
        <v>38</v>
      </c>
      <c r="C69" s="40">
        <f>AVERAGE(C7:C68)</f>
        <v>2.7880048387096763</v>
      </c>
      <c r="D69" s="40">
        <f>AVERAGE(D7:D68)</f>
        <v>2.6047596774193549</v>
      </c>
      <c r="E69" s="41">
        <f>AVERAGE(E7:E68)</f>
        <v>2.3233373655913961E-3</v>
      </c>
    </row>
    <row r="70" spans="1:5" x14ac:dyDescent="0.2">
      <c r="B70" t="s">
        <v>91</v>
      </c>
      <c r="C70" s="6">
        <f>_xlfn.STDEV.P(C7:C68)</f>
        <v>1.4259781959410094</v>
      </c>
      <c r="D70" s="6">
        <f>_xlfn.STDEV.P(D7:D68)</f>
        <v>13.550138362041578</v>
      </c>
      <c r="E70" s="42">
        <f>_xlfn.STDEV.P(E7:E68)</f>
        <v>1.1883151632841719E-3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4C51-20F1-764B-AE90-EC97B61DD089}">
  <dimension ref="A1:O40"/>
  <sheetViews>
    <sheetView workbookViewId="0">
      <selection activeCell="H18" sqref="H18"/>
    </sheetView>
  </sheetViews>
  <sheetFormatPr baseColWidth="10" defaultColWidth="11.5" defaultRowHeight="15" x14ac:dyDescent="0.2"/>
  <cols>
    <col min="1" max="1" width="50.33203125" bestFit="1" customWidth="1"/>
  </cols>
  <sheetData>
    <row r="1" spans="1:15" x14ac:dyDescent="0.2">
      <c r="A1" t="s">
        <v>105</v>
      </c>
      <c r="N1" t="s">
        <v>143</v>
      </c>
      <c r="O1">
        <v>7.4999999999999997E-2</v>
      </c>
    </row>
    <row r="2" spans="1:15" x14ac:dyDescent="0.2">
      <c r="A2" t="s">
        <v>106</v>
      </c>
    </row>
    <row r="3" spans="1:15" x14ac:dyDescent="0.2">
      <c r="B3" t="s">
        <v>112</v>
      </c>
      <c r="C3" t="s">
        <v>111</v>
      </c>
      <c r="D3" t="s">
        <v>110</v>
      </c>
      <c r="E3" t="s">
        <v>109</v>
      </c>
      <c r="F3" t="s">
        <v>108</v>
      </c>
      <c r="G3" t="s">
        <v>107</v>
      </c>
    </row>
    <row r="4" spans="1:15" x14ac:dyDescent="0.2">
      <c r="B4" t="s">
        <v>113</v>
      </c>
      <c r="C4" t="s">
        <v>113</v>
      </c>
      <c r="D4" t="s">
        <v>113</v>
      </c>
      <c r="E4" t="s">
        <v>113</v>
      </c>
      <c r="F4" t="s">
        <v>113</v>
      </c>
    </row>
    <row r="5" spans="1:15" x14ac:dyDescent="0.2">
      <c r="A5" s="65" t="s">
        <v>114</v>
      </c>
      <c r="B5" s="65">
        <v>7429</v>
      </c>
      <c r="C5" s="65">
        <v>8894</v>
      </c>
      <c r="D5" s="65">
        <v>10420</v>
      </c>
      <c r="E5" s="65">
        <v>9795</v>
      </c>
      <c r="F5" s="65">
        <v>10112</v>
      </c>
      <c r="G5" s="65">
        <v>10283</v>
      </c>
      <c r="H5">
        <v>11054.225</v>
      </c>
      <c r="I5">
        <v>11883.291875000001</v>
      </c>
      <c r="J5">
        <v>12774.538765625</v>
      </c>
      <c r="K5">
        <v>13732.629173046875</v>
      </c>
      <c r="L5">
        <v>14762.576361025389</v>
      </c>
    </row>
    <row r="6" spans="1:15" x14ac:dyDescent="0.2">
      <c r="A6" t="s">
        <v>115</v>
      </c>
      <c r="B6">
        <v>-1585</v>
      </c>
      <c r="C6">
        <v>-1797</v>
      </c>
      <c r="D6">
        <v>-2650</v>
      </c>
      <c r="E6">
        <v>-2680</v>
      </c>
      <c r="F6">
        <v>-2833</v>
      </c>
      <c r="G6">
        <v>-2880</v>
      </c>
    </row>
    <row r="7" spans="1:15" x14ac:dyDescent="0.2">
      <c r="A7" t="s">
        <v>116</v>
      </c>
      <c r="B7">
        <v>5844</v>
      </c>
      <c r="C7">
        <v>7097</v>
      </c>
      <c r="D7">
        <v>7770</v>
      </c>
      <c r="E7">
        <v>7115</v>
      </c>
      <c r="F7">
        <v>7279</v>
      </c>
      <c r="G7">
        <v>7403</v>
      </c>
    </row>
    <row r="8" spans="1:15" x14ac:dyDescent="0.2">
      <c r="A8" t="s">
        <v>117</v>
      </c>
      <c r="B8">
        <v>-4074</v>
      </c>
      <c r="C8">
        <v>-4461</v>
      </c>
      <c r="D8">
        <v>-4847</v>
      </c>
      <c r="E8">
        <v>-4765</v>
      </c>
      <c r="F8">
        <v>-5338</v>
      </c>
      <c r="G8">
        <v>-5085</v>
      </c>
    </row>
    <row r="9" spans="1:15" x14ac:dyDescent="0.2">
      <c r="A9" t="s">
        <v>118</v>
      </c>
      <c r="B9">
        <v>-1866</v>
      </c>
      <c r="C9">
        <v>-2091</v>
      </c>
      <c r="D9">
        <v>-2170</v>
      </c>
      <c r="E9">
        <v>-2136</v>
      </c>
      <c r="F9">
        <v>-2217</v>
      </c>
      <c r="G9">
        <v>-2319</v>
      </c>
    </row>
    <row r="10" spans="1:15" x14ac:dyDescent="0.2">
      <c r="A10" t="s">
        <v>119</v>
      </c>
      <c r="B10">
        <v>-930</v>
      </c>
      <c r="C10">
        <v>-1028</v>
      </c>
      <c r="D10">
        <v>-1325</v>
      </c>
      <c r="E10">
        <v>-1330</v>
      </c>
      <c r="F10">
        <v>-1544</v>
      </c>
      <c r="G10">
        <v>-1479</v>
      </c>
    </row>
    <row r="11" spans="1:15" x14ac:dyDescent="0.2">
      <c r="A11" t="s">
        <v>120</v>
      </c>
      <c r="B11">
        <v>-988</v>
      </c>
      <c r="C11">
        <v>-985</v>
      </c>
      <c r="D11">
        <v>-921</v>
      </c>
      <c r="E11">
        <v>-963</v>
      </c>
      <c r="F11">
        <v>-1196</v>
      </c>
      <c r="G11">
        <v>-914</v>
      </c>
    </row>
    <row r="12" spans="1:15" x14ac:dyDescent="0.2">
      <c r="A12" t="s">
        <v>121</v>
      </c>
      <c r="B12">
        <v>-262</v>
      </c>
      <c r="C12">
        <v>-330</v>
      </c>
      <c r="D12">
        <v>-422</v>
      </c>
      <c r="E12">
        <v>-332</v>
      </c>
      <c r="F12">
        <v>-360</v>
      </c>
      <c r="G12">
        <v>-353</v>
      </c>
    </row>
    <row r="13" spans="1:15" x14ac:dyDescent="0.2">
      <c r="A13" t="s">
        <v>122</v>
      </c>
      <c r="B13">
        <v>-28</v>
      </c>
      <c r="C13">
        <v>-27</v>
      </c>
      <c r="D13">
        <v>-9</v>
      </c>
      <c r="E13">
        <v>-4</v>
      </c>
      <c r="F13">
        <v>-21</v>
      </c>
      <c r="G13">
        <v>-20</v>
      </c>
      <c r="H13" s="64">
        <f>H5*H14</f>
        <v>-22.290036275512723</v>
      </c>
      <c r="I13" s="64">
        <f>I5*I14</f>
        <v>-23.961788996176178</v>
      </c>
      <c r="J13" s="64">
        <f>J5*J14</f>
        <v>-25.758923170889389</v>
      </c>
      <c r="K13" s="64">
        <f>K5*K14</f>
        <v>-27.690842408706093</v>
      </c>
      <c r="L13" s="64">
        <f>L5*L14</f>
        <v>-29.767655589359048</v>
      </c>
    </row>
    <row r="14" spans="1:15" x14ac:dyDescent="0.2">
      <c r="A14" t="s">
        <v>153</v>
      </c>
      <c r="B14" s="58">
        <f t="shared" ref="B14:G14" si="0">B13/B5</f>
        <v>-3.7690133261542602E-3</v>
      </c>
      <c r="C14" s="58">
        <f t="shared" si="0"/>
        <v>-3.035754441196312E-3</v>
      </c>
      <c r="D14" s="58">
        <f t="shared" si="0"/>
        <v>-8.6372360844529745E-4</v>
      </c>
      <c r="E14" s="58">
        <f t="shared" si="0"/>
        <v>-4.0837161817253701E-4</v>
      </c>
      <c r="F14" s="58">
        <f t="shared" si="0"/>
        <v>-2.0767405063291137E-3</v>
      </c>
      <c r="G14" s="58">
        <f t="shared" si="0"/>
        <v>-1.9449576971700866E-3</v>
      </c>
      <c r="H14" s="63">
        <f>AVERAGE(B14:G14)</f>
        <v>-2.0164268662446008E-3</v>
      </c>
      <c r="I14" s="63">
        <f>H14</f>
        <v>-2.0164268662446008E-3</v>
      </c>
      <c r="J14" s="63">
        <f>I14</f>
        <v>-2.0164268662446008E-3</v>
      </c>
      <c r="K14" s="63">
        <f>J14</f>
        <v>-2.0164268662446008E-3</v>
      </c>
      <c r="L14" s="63">
        <f>K14</f>
        <v>-2.0164268662446008E-3</v>
      </c>
    </row>
    <row r="15" spans="1:15" x14ac:dyDescent="0.2">
      <c r="A15" s="65" t="s">
        <v>123</v>
      </c>
      <c r="B15" s="65">
        <v>1770</v>
      </c>
      <c r="C15" s="65">
        <v>2636</v>
      </c>
      <c r="D15" s="65">
        <v>2923</v>
      </c>
      <c r="E15" s="65">
        <v>2350</v>
      </c>
      <c r="F15" s="65">
        <v>1941</v>
      </c>
      <c r="G15" s="65">
        <v>2318</v>
      </c>
    </row>
    <row r="16" spans="1:15" x14ac:dyDescent="0.2">
      <c r="A16" t="s">
        <v>124</v>
      </c>
      <c r="B16">
        <v>-118</v>
      </c>
      <c r="C16">
        <v>709</v>
      </c>
      <c r="D16">
        <v>-2525</v>
      </c>
      <c r="E16">
        <v>-3951</v>
      </c>
      <c r="F16">
        <v>1766</v>
      </c>
      <c r="G16">
        <v>-40</v>
      </c>
    </row>
    <row r="17" spans="1:12" x14ac:dyDescent="0.2">
      <c r="A17" t="s">
        <v>125</v>
      </c>
      <c r="B17">
        <v>133</v>
      </c>
      <c r="C17">
        <v>1007</v>
      </c>
      <c r="D17">
        <v>-2365</v>
      </c>
      <c r="E17">
        <v>-3786</v>
      </c>
      <c r="F17">
        <v>1832</v>
      </c>
      <c r="G17">
        <v>-76</v>
      </c>
    </row>
    <row r="18" spans="1:12" x14ac:dyDescent="0.2">
      <c r="A18" s="65" t="s">
        <v>126</v>
      </c>
      <c r="B18" s="65">
        <v>-251</v>
      </c>
      <c r="C18" s="65">
        <v>-298</v>
      </c>
      <c r="D18" s="65">
        <v>-160</v>
      </c>
      <c r="E18" s="65">
        <v>-165</v>
      </c>
      <c r="F18" s="65">
        <v>-66</v>
      </c>
      <c r="G18" s="65">
        <v>36</v>
      </c>
      <c r="H18" s="62">
        <f>H5*$H$19</f>
        <v>-188.87734671998686</v>
      </c>
      <c r="I18" s="62">
        <f>I5*$H$19</f>
        <v>-203.0431477239859</v>
      </c>
      <c r="J18" s="62">
        <f>J5*$H$19</f>
        <v>-218.27138380328483</v>
      </c>
      <c r="K18" s="62">
        <f>K5*$H$19</f>
        <v>-234.64173758853119</v>
      </c>
      <c r="L18" s="62">
        <f>L5*$H$19</f>
        <v>-252.239867907671</v>
      </c>
    </row>
    <row r="19" spans="1:12" x14ac:dyDescent="0.2">
      <c r="A19" s="65"/>
      <c r="B19" s="66">
        <f>B18/B5</f>
        <v>-3.3786512316597121E-2</v>
      </c>
      <c r="C19" s="66">
        <f t="shared" ref="C19:G19" si="1">C18/C5</f>
        <v>-3.350573420283337E-2</v>
      </c>
      <c r="D19" s="66">
        <f t="shared" si="1"/>
        <v>-1.5355086372360844E-2</v>
      </c>
      <c r="E19" s="66">
        <f t="shared" si="1"/>
        <v>-1.6845329249617153E-2</v>
      </c>
      <c r="F19" s="66">
        <f t="shared" si="1"/>
        <v>-6.5268987341772153E-3</v>
      </c>
      <c r="G19" s="66">
        <f t="shared" si="1"/>
        <v>3.5009238549061558E-3</v>
      </c>
      <c r="H19" s="66">
        <f>AVERAGE(B19:G19)</f>
        <v>-1.7086439503446588E-2</v>
      </c>
    </row>
    <row r="20" spans="1:12" x14ac:dyDescent="0.2">
      <c r="A20" t="s">
        <v>127</v>
      </c>
      <c r="D20">
        <v>-269</v>
      </c>
      <c r="E20">
        <v>-235</v>
      </c>
      <c r="F20">
        <v>-263</v>
      </c>
      <c r="G20">
        <v>-259</v>
      </c>
    </row>
    <row r="21" spans="1:12" x14ac:dyDescent="0.2">
      <c r="A21" t="s">
        <v>128</v>
      </c>
      <c r="D21">
        <v>109</v>
      </c>
      <c r="E21">
        <v>70</v>
      </c>
      <c r="F21">
        <v>197</v>
      </c>
      <c r="G21">
        <v>295</v>
      </c>
    </row>
    <row r="22" spans="1:12" x14ac:dyDescent="0.2">
      <c r="A22" t="s">
        <v>129</v>
      </c>
    </row>
    <row r="23" spans="1:12" x14ac:dyDescent="0.2">
      <c r="A23" t="s">
        <v>130</v>
      </c>
      <c r="B23">
        <v>1652</v>
      </c>
      <c r="C23">
        <v>3345</v>
      </c>
      <c r="D23">
        <v>398</v>
      </c>
      <c r="E23">
        <v>-1601</v>
      </c>
      <c r="F23">
        <v>3707</v>
      </c>
      <c r="G23">
        <v>2278</v>
      </c>
    </row>
    <row r="24" spans="1:12" x14ac:dyDescent="0.2">
      <c r="A24" t="s">
        <v>131</v>
      </c>
      <c r="B24">
        <v>-219</v>
      </c>
      <c r="C24">
        <v>-858</v>
      </c>
      <c r="D24">
        <v>-146</v>
      </c>
      <c r="E24">
        <v>327</v>
      </c>
      <c r="F24">
        <v>-932</v>
      </c>
      <c r="G24">
        <v>-297</v>
      </c>
    </row>
    <row r="25" spans="1:12" x14ac:dyDescent="0.2">
      <c r="A25" s="77" t="s">
        <v>147</v>
      </c>
      <c r="B25" s="78">
        <f t="shared" ref="B25:G25" si="2">B24/B23</f>
        <v>-0.13256658595641646</v>
      </c>
      <c r="C25" s="78">
        <f t="shared" si="2"/>
        <v>-0.25650224215246636</v>
      </c>
      <c r="D25" s="78">
        <f t="shared" si="2"/>
        <v>-0.36683417085427134</v>
      </c>
      <c r="E25" s="78">
        <f t="shared" si="2"/>
        <v>-0.20424734540911929</v>
      </c>
      <c r="F25" s="78">
        <f t="shared" si="2"/>
        <v>-0.25141623954680337</v>
      </c>
      <c r="G25" s="78">
        <f t="shared" si="2"/>
        <v>-0.13037752414398596</v>
      </c>
    </row>
    <row r="26" spans="1:12" x14ac:dyDescent="0.2">
      <c r="A26" t="s">
        <v>132</v>
      </c>
      <c r="B26">
        <v>1433</v>
      </c>
      <c r="C26">
        <v>2487</v>
      </c>
      <c r="D26">
        <v>252</v>
      </c>
      <c r="E26">
        <v>-1274</v>
      </c>
      <c r="F26">
        <v>2775</v>
      </c>
      <c r="G26">
        <v>1981</v>
      </c>
    </row>
    <row r="27" spans="1:12" x14ac:dyDescent="0.2">
      <c r="A27" t="s">
        <v>133</v>
      </c>
    </row>
    <row r="28" spans="1:12" x14ac:dyDescent="0.2">
      <c r="A28" t="s">
        <v>134</v>
      </c>
      <c r="B28">
        <v>353</v>
      </c>
      <c r="C28">
        <v>3180</v>
      </c>
      <c r="D28">
        <v>13356</v>
      </c>
      <c r="E28">
        <v>5</v>
      </c>
      <c r="F28">
        <v>-8</v>
      </c>
      <c r="G28">
        <v>-6</v>
      </c>
    </row>
    <row r="29" spans="1:12" x14ac:dyDescent="0.2">
      <c r="A29" t="s">
        <v>135</v>
      </c>
      <c r="B29">
        <v>1786</v>
      </c>
      <c r="C29">
        <v>5667</v>
      </c>
      <c r="D29">
        <v>13608</v>
      </c>
      <c r="E29">
        <v>-1269</v>
      </c>
      <c r="F29">
        <v>2767</v>
      </c>
      <c r="G29">
        <v>1975</v>
      </c>
    </row>
    <row r="30" spans="1:12" x14ac:dyDescent="0.2">
      <c r="A30" t="s">
        <v>136</v>
      </c>
    </row>
    <row r="31" spans="1:12" x14ac:dyDescent="0.2">
      <c r="A31" t="s">
        <v>137</v>
      </c>
      <c r="B31">
        <v>2.1</v>
      </c>
      <c r="C31">
        <v>7.98</v>
      </c>
      <c r="D31">
        <v>20.87</v>
      </c>
      <c r="E31">
        <v>-2.27</v>
      </c>
      <c r="F31">
        <v>5.22</v>
      </c>
      <c r="G31">
        <v>3.99</v>
      </c>
    </row>
    <row r="32" spans="1:12" x14ac:dyDescent="0.2">
      <c r="A32" t="s">
        <v>138</v>
      </c>
      <c r="B32">
        <v>1.69</v>
      </c>
      <c r="C32">
        <v>3.5</v>
      </c>
      <c r="D32">
        <v>0.39</v>
      </c>
      <c r="E32">
        <v>-2.2799999999999998</v>
      </c>
      <c r="F32">
        <v>5.24</v>
      </c>
      <c r="G32">
        <v>4</v>
      </c>
    </row>
    <row r="33" spans="1:7" x14ac:dyDescent="0.2">
      <c r="A33" t="s">
        <v>139</v>
      </c>
      <c r="B33">
        <v>0.41</v>
      </c>
      <c r="C33">
        <v>4.4800000000000004</v>
      </c>
      <c r="D33">
        <v>20.48</v>
      </c>
      <c r="E33">
        <v>0.01</v>
      </c>
      <c r="F33">
        <v>-0.02</v>
      </c>
      <c r="G33">
        <v>-0.01</v>
      </c>
    </row>
    <row r="34" spans="1:7" x14ac:dyDescent="0.2">
      <c r="A34" t="s">
        <v>140</v>
      </c>
      <c r="B34">
        <v>2.09</v>
      </c>
      <c r="C34">
        <v>7.89</v>
      </c>
      <c r="D34">
        <v>20.54</v>
      </c>
      <c r="E34">
        <v>-2.27</v>
      </c>
      <c r="F34">
        <v>5.19</v>
      </c>
      <c r="G34">
        <v>3.94</v>
      </c>
    </row>
    <row r="35" spans="1:7" x14ac:dyDescent="0.2">
      <c r="A35" t="s">
        <v>138</v>
      </c>
      <c r="B35">
        <v>1.68</v>
      </c>
      <c r="C35">
        <v>3.46</v>
      </c>
      <c r="D35">
        <v>0.38</v>
      </c>
      <c r="E35">
        <v>-2.2799999999999998</v>
      </c>
      <c r="F35">
        <v>5.21</v>
      </c>
      <c r="G35">
        <v>3.95</v>
      </c>
    </row>
    <row r="36" spans="1:7" x14ac:dyDescent="0.2">
      <c r="A36" t="s">
        <v>139</v>
      </c>
      <c r="B36">
        <v>0.41</v>
      </c>
      <c r="C36">
        <v>4.43</v>
      </c>
      <c r="D36">
        <v>20.16</v>
      </c>
      <c r="E36">
        <v>0.01</v>
      </c>
      <c r="F36">
        <v>-0.02</v>
      </c>
      <c r="G36">
        <v>-0.01</v>
      </c>
    </row>
    <row r="37" spans="1:7" x14ac:dyDescent="0.2">
      <c r="A37" t="s">
        <v>141</v>
      </c>
    </row>
    <row r="38" spans="1:7" x14ac:dyDescent="0.2">
      <c r="A38" t="s">
        <v>137</v>
      </c>
      <c r="B38">
        <v>849</v>
      </c>
      <c r="C38">
        <v>710</v>
      </c>
      <c r="D38">
        <v>652</v>
      </c>
      <c r="E38">
        <v>558</v>
      </c>
      <c r="F38">
        <v>530</v>
      </c>
      <c r="G38">
        <v>496</v>
      </c>
    </row>
    <row r="39" spans="1:7" x14ac:dyDescent="0.2">
      <c r="A39" t="s">
        <v>140</v>
      </c>
      <c r="B39">
        <v>856</v>
      </c>
      <c r="C39">
        <v>718</v>
      </c>
      <c r="D39">
        <v>663</v>
      </c>
      <c r="E39">
        <v>558</v>
      </c>
      <c r="F39">
        <v>533</v>
      </c>
      <c r="G39">
        <v>501</v>
      </c>
    </row>
    <row r="40" spans="1:7" x14ac:dyDescent="0.2">
      <c r="A40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22F6-A562-4141-9B64-7F6D563FCBEF}">
  <dimension ref="A1:XFD175"/>
  <sheetViews>
    <sheetView workbookViewId="0">
      <selection activeCell="E31" sqref="E31"/>
    </sheetView>
  </sheetViews>
  <sheetFormatPr baseColWidth="10" defaultColWidth="11.5" defaultRowHeight="15" x14ac:dyDescent="0.2"/>
  <cols>
    <col min="1" max="1" width="45" customWidth="1"/>
  </cols>
  <sheetData>
    <row r="1" spans="1:21" x14ac:dyDescent="0.2">
      <c r="A1" t="s">
        <v>105</v>
      </c>
    </row>
    <row r="2" spans="1:21" x14ac:dyDescent="0.2">
      <c r="A2" t="s">
        <v>106</v>
      </c>
    </row>
    <row r="3" spans="1:21" x14ac:dyDescent="0.2">
      <c r="B3" t="s">
        <v>112</v>
      </c>
      <c r="C3" t="s">
        <v>111</v>
      </c>
      <c r="D3" t="s">
        <v>110</v>
      </c>
      <c r="E3" t="s">
        <v>109</v>
      </c>
      <c r="F3" t="s">
        <v>108</v>
      </c>
      <c r="G3" t="s">
        <v>107</v>
      </c>
      <c r="P3">
        <v>2024</v>
      </c>
      <c r="Q3">
        <v>2025</v>
      </c>
      <c r="R3">
        <v>2026</v>
      </c>
      <c r="S3">
        <v>2027</v>
      </c>
      <c r="T3">
        <v>2028</v>
      </c>
      <c r="U3">
        <v>2029</v>
      </c>
    </row>
    <row r="4" spans="1:21" x14ac:dyDescent="0.2">
      <c r="B4" t="s">
        <v>113</v>
      </c>
      <c r="C4" t="s">
        <v>113</v>
      </c>
      <c r="D4" t="s">
        <v>113</v>
      </c>
      <c r="E4" t="s">
        <v>113</v>
      </c>
      <c r="F4" t="s">
        <v>113</v>
      </c>
      <c r="N4" t="s">
        <v>212</v>
      </c>
      <c r="P4">
        <f t="shared" ref="P4:U4" si="0">G7-G41</f>
        <v>1469</v>
      </c>
      <c r="Q4" s="79">
        <f t="shared" si="0"/>
        <v>4613.8489776367542</v>
      </c>
      <c r="R4" s="79">
        <f t="shared" si="0"/>
        <v>4959.8876509595102</v>
      </c>
      <c r="S4" s="79">
        <f t="shared" si="0"/>
        <v>5331.8792247814736</v>
      </c>
      <c r="T4" s="79">
        <f t="shared" si="0"/>
        <v>5731.7701666400844</v>
      </c>
      <c r="U4" s="79">
        <f t="shared" si="0"/>
        <v>6161.6529291380903</v>
      </c>
    </row>
    <row r="5" spans="1:21" x14ac:dyDescent="0.2">
      <c r="A5" t="s">
        <v>154</v>
      </c>
      <c r="N5" t="s">
        <v>213</v>
      </c>
      <c r="Q5" s="79">
        <f>Q4-P4</f>
        <v>3144.8489776367542</v>
      </c>
      <c r="R5" s="79">
        <f t="shared" ref="R5:U5" si="1">R4-Q4</f>
        <v>346.03867332275604</v>
      </c>
      <c r="S5" s="79">
        <f t="shared" si="1"/>
        <v>371.99157382196336</v>
      </c>
      <c r="T5" s="79">
        <f t="shared" si="1"/>
        <v>399.89094185861086</v>
      </c>
      <c r="U5" s="79">
        <f t="shared" si="1"/>
        <v>429.88276249800583</v>
      </c>
    </row>
    <row r="6" spans="1:21" x14ac:dyDescent="0.2">
      <c r="A6" t="s">
        <v>155</v>
      </c>
      <c r="B6">
        <v>18174</v>
      </c>
      <c r="C6">
        <v>19310</v>
      </c>
      <c r="D6">
        <v>26626</v>
      </c>
      <c r="E6">
        <v>20850</v>
      </c>
      <c r="F6">
        <v>21620</v>
      </c>
      <c r="G6">
        <v>19365</v>
      </c>
    </row>
    <row r="7" spans="1:21" x14ac:dyDescent="0.2">
      <c r="A7" s="65" t="s">
        <v>156</v>
      </c>
      <c r="B7" s="65">
        <v>4706</v>
      </c>
      <c r="C7" s="65">
        <v>7190</v>
      </c>
      <c r="D7" s="65">
        <v>9111</v>
      </c>
      <c r="E7" s="65">
        <v>9290</v>
      </c>
      <c r="F7" s="65">
        <v>11016</v>
      </c>
      <c r="G7" s="65">
        <v>7567</v>
      </c>
      <c r="H7" s="62">
        <f>$H$8*FCFF!C15</f>
        <v>9852.637211164887</v>
      </c>
      <c r="I7" s="62">
        <f>$H$8*FCFF!D15</f>
        <v>10591.585002002254</v>
      </c>
      <c r="J7" s="62">
        <f>$H$8*FCFF!E15</f>
        <v>11385.953877152422</v>
      </c>
      <c r="K7" s="62">
        <f>$H$8*FCFF!F15</f>
        <v>12239.900417938854</v>
      </c>
      <c r="L7" s="62">
        <f>$H$8*FCFF!G15</f>
        <v>13157.892949284267</v>
      </c>
    </row>
    <row r="8" spans="1:21" x14ac:dyDescent="0.2">
      <c r="A8" s="65"/>
      <c r="B8" s="66">
        <f>B7/'EBAY Income Statement'!B5</f>
        <v>0.63346345403149817</v>
      </c>
      <c r="C8" s="66">
        <f>C7/'EBAY Income Statement'!C5</f>
        <v>0.80841016415561051</v>
      </c>
      <c r="D8" s="66">
        <f>D7/'EBAY Income Statement'!D5</f>
        <v>0.8743761996161229</v>
      </c>
      <c r="E8" s="66">
        <f>E7/'EBAY Income Statement'!E5</f>
        <v>0.94844308320571724</v>
      </c>
      <c r="F8" s="66">
        <f>F7/'EBAY Income Statement'!F5</f>
        <v>1.0893987341772151</v>
      </c>
      <c r="G8" s="66">
        <f>G7/'EBAY Income Statement'!G5</f>
        <v>0.73587474472430225</v>
      </c>
      <c r="H8" s="68">
        <f>AVERAGE(C8:G8)</f>
        <v>0.89130058517579358</v>
      </c>
    </row>
    <row r="9" spans="1:21" x14ac:dyDescent="0.2">
      <c r="A9" s="65" t="s">
        <v>157</v>
      </c>
      <c r="B9" s="65">
        <v>901</v>
      </c>
      <c r="C9" s="65">
        <v>1101</v>
      </c>
      <c r="D9" s="65">
        <v>1379</v>
      </c>
      <c r="E9" s="65">
        <v>2154</v>
      </c>
      <c r="F9" s="65">
        <v>1985</v>
      </c>
      <c r="G9" s="65">
        <v>2433</v>
      </c>
    </row>
    <row r="10" spans="1:21" x14ac:dyDescent="0.2">
      <c r="A10" t="s">
        <v>158</v>
      </c>
      <c r="B10">
        <v>1850</v>
      </c>
      <c r="C10">
        <v>2392</v>
      </c>
      <c r="D10">
        <v>5944</v>
      </c>
      <c r="E10">
        <v>2625</v>
      </c>
      <c r="F10">
        <v>2533</v>
      </c>
      <c r="G10">
        <v>3457</v>
      </c>
    </row>
    <row r="11" spans="1:21" x14ac:dyDescent="0.2">
      <c r="A11" t="s">
        <v>159</v>
      </c>
      <c r="D11">
        <v>0</v>
      </c>
      <c r="E11">
        <v>2692</v>
      </c>
      <c r="F11">
        <v>4474</v>
      </c>
      <c r="G11">
        <v>0</v>
      </c>
    </row>
    <row r="12" spans="1:21" x14ac:dyDescent="0.2">
      <c r="A12" t="s">
        <v>162</v>
      </c>
      <c r="C12">
        <v>290</v>
      </c>
      <c r="D12">
        <v>681</v>
      </c>
      <c r="E12">
        <v>763</v>
      </c>
      <c r="F12">
        <v>1013</v>
      </c>
      <c r="G12">
        <v>962</v>
      </c>
    </row>
    <row r="13" spans="1:21" x14ac:dyDescent="0.2">
      <c r="A13" t="s">
        <v>163</v>
      </c>
      <c r="B13">
        <v>1619</v>
      </c>
      <c r="C13">
        <v>1142</v>
      </c>
      <c r="D13">
        <v>1107</v>
      </c>
      <c r="E13">
        <v>1056</v>
      </c>
      <c r="F13">
        <v>1011</v>
      </c>
      <c r="G13">
        <v>715</v>
      </c>
    </row>
    <row r="14" spans="1:21" x14ac:dyDescent="0.2">
      <c r="A14" t="s">
        <v>164</v>
      </c>
      <c r="B14">
        <v>555</v>
      </c>
      <c r="C14">
        <v>362</v>
      </c>
    </row>
    <row r="15" spans="1:21" x14ac:dyDescent="0.2">
      <c r="A15" t="s">
        <v>165</v>
      </c>
      <c r="B15">
        <v>1064</v>
      </c>
      <c r="C15">
        <v>780</v>
      </c>
    </row>
    <row r="16" spans="1:21" x14ac:dyDescent="0.2">
      <c r="A16" t="s">
        <v>166</v>
      </c>
      <c r="B16">
        <v>195</v>
      </c>
    </row>
    <row r="17" spans="1:12 16384:16384" x14ac:dyDescent="0.2">
      <c r="A17" t="s">
        <v>167</v>
      </c>
      <c r="B17">
        <v>141</v>
      </c>
      <c r="C17">
        <v>2265</v>
      </c>
    </row>
    <row r="18" spans="1:12 16384:16384" x14ac:dyDescent="0.2">
      <c r="A18" t="s">
        <v>168</v>
      </c>
      <c r="B18">
        <v>1275</v>
      </c>
      <c r="C18">
        <v>833</v>
      </c>
      <c r="D18">
        <v>2575</v>
      </c>
      <c r="E18">
        <v>1797</v>
      </c>
      <c r="F18">
        <v>1129</v>
      </c>
      <c r="G18">
        <v>2439</v>
      </c>
    </row>
    <row r="19" spans="1:12 16384:16384" x14ac:dyDescent="0.2">
      <c r="A19" s="141" t="s">
        <v>169</v>
      </c>
      <c r="B19" s="141">
        <v>1460</v>
      </c>
      <c r="C19" s="141">
        <v>1292</v>
      </c>
      <c r="D19" s="141">
        <v>1236</v>
      </c>
      <c r="E19" s="141">
        <v>1238</v>
      </c>
      <c r="F19" s="141">
        <v>1243</v>
      </c>
      <c r="G19" s="141">
        <v>1263</v>
      </c>
      <c r="H19" s="142">
        <f>$H$21*FCFF!C15</f>
        <v>1533.8658213270871</v>
      </c>
      <c r="I19" s="142">
        <f>$H$21*FCFF!D15</f>
        <v>1648.9057579266189</v>
      </c>
      <c r="J19" s="142">
        <f>$H$21*FCFF!E15</f>
        <v>1772.5736897711151</v>
      </c>
      <c r="K19" s="142">
        <f>$H$21*FCFF!F15</f>
        <v>1905.5167165039486</v>
      </c>
      <c r="L19" s="142">
        <f>$H$21*FCFF!G15</f>
        <v>2048.4304702417444</v>
      </c>
    </row>
    <row r="20" spans="1:12 16384:16384" x14ac:dyDescent="0.2">
      <c r="A20" s="141"/>
      <c r="B20" s="141"/>
      <c r="C20" s="141">
        <f t="shared" ref="C20:H20" si="2">C19-B19</f>
        <v>-168</v>
      </c>
      <c r="D20" s="141">
        <f t="shared" si="2"/>
        <v>-56</v>
      </c>
      <c r="E20" s="141">
        <f t="shared" si="2"/>
        <v>2</v>
      </c>
      <c r="F20" s="141">
        <f t="shared" si="2"/>
        <v>5</v>
      </c>
      <c r="G20" s="141">
        <f t="shared" si="2"/>
        <v>20</v>
      </c>
      <c r="H20" s="142">
        <f t="shared" si="2"/>
        <v>270.86582132708713</v>
      </c>
      <c r="I20" s="142">
        <f t="shared" ref="I20:L20" si="3">I19-H19</f>
        <v>115.03993659953176</v>
      </c>
      <c r="J20" s="142">
        <f t="shared" si="3"/>
        <v>123.66793184449625</v>
      </c>
      <c r="K20" s="142">
        <f t="shared" si="3"/>
        <v>132.94302673283346</v>
      </c>
      <c r="L20" s="142">
        <f t="shared" si="3"/>
        <v>142.91375373779579</v>
      </c>
      <c r="XFD20" s="62"/>
    </row>
    <row r="21" spans="1:12 16384:16384" x14ac:dyDescent="0.2">
      <c r="A21" s="141"/>
      <c r="B21" s="141">
        <f>B19/'EBAY Income Statement'!B5</f>
        <v>0.19652712343518644</v>
      </c>
      <c r="C21" s="141">
        <f>C19/'EBAY Income Statement'!C5</f>
        <v>0.14526647177872723</v>
      </c>
      <c r="D21" s="141">
        <f>D19/'EBAY Income Statement'!D5</f>
        <v>0.11861804222648753</v>
      </c>
      <c r="E21" s="141">
        <f>E19/'EBAY Income Statement'!E5</f>
        <v>0.12639101582440021</v>
      </c>
      <c r="F21" s="141">
        <f>F19/'EBAY Income Statement'!F5</f>
        <v>0.12292325949367089</v>
      </c>
      <c r="G21" s="141">
        <f>G19/'EBAY Income Statement'!G5</f>
        <v>0.12282407857629096</v>
      </c>
      <c r="H21" s="141">
        <f>AVERAGE(B21:G21)</f>
        <v>0.1387583318891272</v>
      </c>
      <c r="I21" s="141"/>
      <c r="J21" s="141"/>
      <c r="K21" s="141"/>
      <c r="L21" s="141"/>
    </row>
    <row r="22" spans="1:12 16384:16384" x14ac:dyDescent="0.2">
      <c r="A22" s="143" t="s">
        <v>169</v>
      </c>
      <c r="B22" s="143">
        <v>1460</v>
      </c>
      <c r="C22" s="143">
        <v>1292</v>
      </c>
      <c r="D22" s="143">
        <v>1236</v>
      </c>
      <c r="E22" s="143">
        <v>1238</v>
      </c>
      <c r="F22" s="143">
        <v>1243</v>
      </c>
      <c r="G22" s="143">
        <v>1263</v>
      </c>
      <c r="H22" s="144">
        <f>$H$21*FCFF!J15</f>
        <v>1548.1343405952462</v>
      </c>
      <c r="I22" s="144">
        <f>$H$21*FCFF!K15</f>
        <v>1679.725759545842</v>
      </c>
      <c r="J22" s="144">
        <f>$H$21*FCFF!L15</f>
        <v>1822.5024491072386</v>
      </c>
      <c r="K22" s="144">
        <f>$H$21*FCFF!M15</f>
        <v>1977.4151572813537</v>
      </c>
      <c r="L22" s="144">
        <f>$H$21*FCFF!N15</f>
        <v>2145.4954456502687</v>
      </c>
    </row>
    <row r="23" spans="1:12 16384:16384" x14ac:dyDescent="0.2">
      <c r="A23" s="143"/>
      <c r="B23" s="143"/>
      <c r="C23" s="143">
        <f t="shared" ref="C23:H23" si="4">C22-B22</f>
        <v>-168</v>
      </c>
      <c r="D23" s="143">
        <f t="shared" si="4"/>
        <v>-56</v>
      </c>
      <c r="E23" s="143">
        <f t="shared" si="4"/>
        <v>2</v>
      </c>
      <c r="F23" s="143">
        <f t="shared" si="4"/>
        <v>5</v>
      </c>
      <c r="G23" s="143">
        <f t="shared" si="4"/>
        <v>20</v>
      </c>
      <c r="H23" s="144">
        <f t="shared" si="4"/>
        <v>285.13434059524616</v>
      </c>
      <c r="I23" s="144">
        <f t="shared" ref="I23" si="5">I22-H22</f>
        <v>131.59141895059588</v>
      </c>
      <c r="J23" s="144">
        <f t="shared" ref="J23" si="6">J22-I22</f>
        <v>142.77668956139655</v>
      </c>
      <c r="K23" s="144">
        <f t="shared" ref="K23" si="7">K22-J22</f>
        <v>154.9127081741151</v>
      </c>
      <c r="L23" s="144">
        <f t="shared" ref="L23" si="8">L22-K22</f>
        <v>168.08028836891503</v>
      </c>
    </row>
    <row r="24" spans="1:12 16384:16384" x14ac:dyDescent="0.2">
      <c r="A24" s="143"/>
      <c r="B24" s="143">
        <f>B22/'EBAY Income Statement'!B8</f>
        <v>-0.35837015218458518</v>
      </c>
      <c r="C24" s="143">
        <f>C22/'EBAY Income Statement'!C8</f>
        <v>-0.2896211611746245</v>
      </c>
      <c r="D24" s="143">
        <f>D22/'EBAY Income Statement'!D8</f>
        <v>-0.25500309469775118</v>
      </c>
      <c r="E24" s="143">
        <f>E22/'EBAY Income Statement'!E8</f>
        <v>-0.25981112277019935</v>
      </c>
      <c r="F24" s="143">
        <f>F22/'EBAY Income Statement'!F8</f>
        <v>-0.2328587485949794</v>
      </c>
      <c r="G24" s="143">
        <f>G22/'EBAY Income Statement'!G8</f>
        <v>-0.24837758112094396</v>
      </c>
      <c r="H24" s="143">
        <f>AVERAGE(B24:G24)</f>
        <v>-0.27400697675718055</v>
      </c>
      <c r="I24" s="143"/>
      <c r="J24" s="143"/>
      <c r="K24" s="143"/>
      <c r="L24" s="143"/>
    </row>
    <row r="25" spans="1:12 16384:16384" x14ac:dyDescent="0.2">
      <c r="A25" s="65" t="s">
        <v>169</v>
      </c>
      <c r="B25" s="65">
        <v>1460</v>
      </c>
      <c r="C25" s="65">
        <v>1292</v>
      </c>
      <c r="D25" s="65">
        <v>1236</v>
      </c>
      <c r="E25" s="65">
        <v>1238</v>
      </c>
      <c r="F25" s="65">
        <v>1243</v>
      </c>
      <c r="G25" s="65">
        <v>1263</v>
      </c>
      <c r="H25" s="145">
        <f>$H$21*FCFF!Q15</f>
        <v>1519.5973020589279</v>
      </c>
      <c r="I25" s="145">
        <f>$H$21*FCFF!R15</f>
        <v>1618.3711266927583</v>
      </c>
      <c r="J25" s="145">
        <f>$H$21*FCFF!S15</f>
        <v>1723.5652499277874</v>
      </c>
      <c r="K25" s="145">
        <f>$H$21*FCFF!T15</f>
        <v>1835.5969911730933</v>
      </c>
      <c r="L25" s="145">
        <f>$H$21*FCFF!U15</f>
        <v>1954.9107955993443</v>
      </c>
    </row>
    <row r="26" spans="1:12 16384:16384" x14ac:dyDescent="0.2">
      <c r="A26" s="65"/>
      <c r="B26" s="65"/>
      <c r="C26" s="65">
        <f t="shared" ref="C26:H26" si="9">C25-B25</f>
        <v>-168</v>
      </c>
      <c r="D26" s="65">
        <f t="shared" si="9"/>
        <v>-56</v>
      </c>
      <c r="E26" s="65">
        <f t="shared" si="9"/>
        <v>2</v>
      </c>
      <c r="F26" s="65">
        <f t="shared" si="9"/>
        <v>5</v>
      </c>
      <c r="G26" s="65">
        <f t="shared" si="9"/>
        <v>20</v>
      </c>
      <c r="H26" s="145">
        <f t="shared" si="9"/>
        <v>256.59730205892788</v>
      </c>
      <c r="I26" s="145">
        <f t="shared" ref="I26" si="10">I25-H25</f>
        <v>98.773824633830372</v>
      </c>
      <c r="J26" s="145">
        <f t="shared" ref="J26" si="11">J25-I25</f>
        <v>105.19412323502911</v>
      </c>
      <c r="K26" s="145">
        <f t="shared" ref="K26" si="12">K25-J25</f>
        <v>112.03174124530597</v>
      </c>
      <c r="L26" s="145">
        <f t="shared" ref="L26" si="13">L25-K25</f>
        <v>119.31380442625095</v>
      </c>
    </row>
    <row r="27" spans="1:12 16384:16384" x14ac:dyDescent="0.2">
      <c r="A27" s="65"/>
      <c r="B27" s="65">
        <f>B25/'EBAY Income Statement'!B11</f>
        <v>-1.4777327935222673</v>
      </c>
      <c r="C27" s="65">
        <f>C25/'EBAY Income Statement'!C11</f>
        <v>-1.3116751269035534</v>
      </c>
      <c r="D27" s="65">
        <f>D25/'EBAY Income Statement'!D11</f>
        <v>-1.3420195439739413</v>
      </c>
      <c r="E27" s="65">
        <f>E25/'EBAY Income Statement'!E11</f>
        <v>-1.2855659397715473</v>
      </c>
      <c r="F27" s="65">
        <f>F25/'EBAY Income Statement'!F11</f>
        <v>-1.0392976588628762</v>
      </c>
      <c r="G27" s="65">
        <f>G25/'EBAY Income Statement'!G11</f>
        <v>-1.3818380743982495</v>
      </c>
      <c r="H27" s="65">
        <f>AVERAGE(B27:G27)</f>
        <v>-1.3063548562387393</v>
      </c>
      <c r="I27" s="65"/>
      <c r="J27" s="65"/>
      <c r="K27" s="65"/>
      <c r="L27" s="65"/>
    </row>
    <row r="28" spans="1:12 16384:16384" x14ac:dyDescent="0.2">
      <c r="A28" t="s">
        <v>170</v>
      </c>
      <c r="B28">
        <v>4533</v>
      </c>
      <c r="C28">
        <v>4285</v>
      </c>
      <c r="D28">
        <v>4178</v>
      </c>
      <c r="E28">
        <v>4262</v>
      </c>
      <c r="F28">
        <v>4267</v>
      </c>
      <c r="G28">
        <v>4269</v>
      </c>
    </row>
    <row r="29" spans="1:12 16384:16384" x14ac:dyDescent="0.2">
      <c r="A29" t="s">
        <v>171</v>
      </c>
      <c r="B29">
        <v>583</v>
      </c>
      <c r="C29">
        <v>430</v>
      </c>
      <c r="D29">
        <v>289</v>
      </c>
      <c r="E29">
        <v>513</v>
      </c>
      <c r="F29">
        <v>493</v>
      </c>
      <c r="G29">
        <v>427</v>
      </c>
    </row>
    <row r="30" spans="1:12 16384:16384" x14ac:dyDescent="0.2">
      <c r="A30" t="s">
        <v>172</v>
      </c>
      <c r="B30">
        <v>3980</v>
      </c>
      <c r="C30">
        <v>3537</v>
      </c>
      <c r="D30">
        <v>3255</v>
      </c>
      <c r="E30">
        <v>3169</v>
      </c>
      <c r="F30">
        <v>3089</v>
      </c>
      <c r="G30">
        <v>2936</v>
      </c>
    </row>
    <row r="31" spans="1:12 16384:16384" x14ac:dyDescent="0.2">
      <c r="A31" t="s">
        <v>173</v>
      </c>
      <c r="B31">
        <v>878</v>
      </c>
      <c r="C31">
        <v>549</v>
      </c>
    </row>
    <row r="32" spans="1:12 16384:16384" x14ac:dyDescent="0.2">
      <c r="A32" t="s">
        <v>174</v>
      </c>
      <c r="B32">
        <v>306</v>
      </c>
    </row>
    <row r="33" spans="1:12" x14ac:dyDescent="0.2">
      <c r="A33" t="s">
        <v>175</v>
      </c>
      <c r="C33">
        <v>0</v>
      </c>
      <c r="D33">
        <v>5391</v>
      </c>
    </row>
    <row r="34" spans="1:12" x14ac:dyDescent="0.2">
      <c r="A34" t="s">
        <v>176</v>
      </c>
      <c r="B34">
        <v>453</v>
      </c>
      <c r="C34">
        <v>1194</v>
      </c>
      <c r="D34">
        <v>591</v>
      </c>
      <c r="E34">
        <v>581</v>
      </c>
      <c r="F34">
        <v>383</v>
      </c>
      <c r="G34">
        <v>464</v>
      </c>
    </row>
    <row r="35" spans="1:12" x14ac:dyDescent="0.2">
      <c r="A35" t="s">
        <v>177</v>
      </c>
      <c r="B35">
        <v>39</v>
      </c>
      <c r="C35">
        <v>12</v>
      </c>
    </row>
    <row r="36" spans="1:12" x14ac:dyDescent="0.2">
      <c r="A36" t="s">
        <v>178</v>
      </c>
      <c r="B36">
        <v>414</v>
      </c>
      <c r="C36">
        <v>1182</v>
      </c>
    </row>
    <row r="37" spans="1:12" x14ac:dyDescent="0.2">
      <c r="A37" t="s">
        <v>179</v>
      </c>
      <c r="B37">
        <v>281</v>
      </c>
      <c r="C37">
        <v>1051</v>
      </c>
    </row>
    <row r="38" spans="1:12" x14ac:dyDescent="0.2">
      <c r="A38" t="s">
        <v>180</v>
      </c>
      <c r="B38">
        <v>133</v>
      </c>
      <c r="C38">
        <v>131</v>
      </c>
    </row>
    <row r="39" spans="1:12" x14ac:dyDescent="0.2">
      <c r="A39" t="s">
        <v>181</v>
      </c>
      <c r="B39">
        <v>18174</v>
      </c>
      <c r="C39">
        <v>19310</v>
      </c>
      <c r="D39">
        <v>26626</v>
      </c>
      <c r="E39">
        <v>20850</v>
      </c>
      <c r="F39">
        <v>21620</v>
      </c>
      <c r="G39">
        <v>19365</v>
      </c>
    </row>
    <row r="40" spans="1:12" x14ac:dyDescent="0.2">
      <c r="A40" s="4" t="s">
        <v>182</v>
      </c>
      <c r="B40" s="4">
        <v>15304</v>
      </c>
      <c r="C40" s="4">
        <v>15749</v>
      </c>
      <c r="D40" s="4">
        <v>16848</v>
      </c>
      <c r="E40" s="4">
        <v>15697</v>
      </c>
      <c r="F40" s="4">
        <v>15224</v>
      </c>
      <c r="G40" s="4">
        <v>14207</v>
      </c>
    </row>
    <row r="41" spans="1:12" x14ac:dyDescent="0.2">
      <c r="A41" s="65" t="s">
        <v>183</v>
      </c>
      <c r="B41" s="65">
        <v>4066</v>
      </c>
      <c r="C41" s="65">
        <v>4002</v>
      </c>
      <c r="D41" s="65">
        <v>4622</v>
      </c>
      <c r="E41" s="65">
        <v>4271</v>
      </c>
      <c r="F41" s="65">
        <v>4520</v>
      </c>
      <c r="G41" s="65">
        <v>6098</v>
      </c>
      <c r="H41" s="62">
        <f>$H$42*FCFF!C15</f>
        <v>5238.7882335281329</v>
      </c>
      <c r="I41" s="62">
        <f>$H$42*FCFF!D15</f>
        <v>5631.6973510427433</v>
      </c>
      <c r="J41" s="62">
        <f>$H$42*FCFF!E15</f>
        <v>6054.0746523709486</v>
      </c>
      <c r="K41" s="62">
        <f>$H$42*FCFF!F15</f>
        <v>6508.1302512987695</v>
      </c>
      <c r="L41" s="62">
        <f>$H$42*FCFF!G15</f>
        <v>6996.2400201461769</v>
      </c>
    </row>
    <row r="42" spans="1:12" x14ac:dyDescent="0.2">
      <c r="A42" s="65"/>
      <c r="B42" s="66">
        <f>'EBAY Balance Sheet'!B41/'EBAY Income Statement'!B5</f>
        <v>0.54731457800511507</v>
      </c>
      <c r="C42" s="66">
        <f>'EBAY Balance Sheet'!C41/'EBAY Income Statement'!C5</f>
        <v>0.44996626939509782</v>
      </c>
      <c r="D42" s="66">
        <f>'EBAY Balance Sheet'!D41/'EBAY Income Statement'!D5</f>
        <v>0.44357005758157392</v>
      </c>
      <c r="E42" s="66">
        <f>'EBAY Balance Sheet'!E41/'EBAY Income Statement'!E5</f>
        <v>0.43603879530372641</v>
      </c>
      <c r="F42" s="66">
        <f>'EBAY Balance Sheet'!F41/'EBAY Income Statement'!F5</f>
        <v>0.44699367088607594</v>
      </c>
      <c r="G42" s="66">
        <f>'EBAY Balance Sheet'!G41/'EBAY Income Statement'!G5</f>
        <v>0.59301760186715935</v>
      </c>
      <c r="H42" s="68">
        <f>AVERAGE(C42:G42)</f>
        <v>0.47391727900672664</v>
      </c>
    </row>
    <row r="43" spans="1:12" x14ac:dyDescent="0.2">
      <c r="A43" t="s">
        <v>184</v>
      </c>
      <c r="B43">
        <v>1020</v>
      </c>
      <c r="C43">
        <v>6</v>
      </c>
      <c r="D43">
        <v>1355</v>
      </c>
      <c r="E43">
        <v>1150</v>
      </c>
      <c r="F43">
        <v>750</v>
      </c>
      <c r="G43">
        <v>1673</v>
      </c>
    </row>
    <row r="44" spans="1:12" x14ac:dyDescent="0.2">
      <c r="A44" t="s">
        <v>185</v>
      </c>
      <c r="B44">
        <v>229</v>
      </c>
      <c r="C44">
        <v>278</v>
      </c>
      <c r="D44">
        <v>262</v>
      </c>
      <c r="E44">
        <v>261</v>
      </c>
      <c r="F44">
        <v>267</v>
      </c>
      <c r="G44">
        <v>257</v>
      </c>
    </row>
    <row r="45" spans="1:12" x14ac:dyDescent="0.2">
      <c r="A45" t="s">
        <v>186</v>
      </c>
    </row>
    <row r="46" spans="1:12" x14ac:dyDescent="0.2">
      <c r="A46" t="s">
        <v>187</v>
      </c>
      <c r="B46">
        <v>2097</v>
      </c>
      <c r="C46">
        <v>2146</v>
      </c>
      <c r="D46">
        <v>2634</v>
      </c>
      <c r="E46">
        <v>2634</v>
      </c>
      <c r="F46">
        <v>3250</v>
      </c>
      <c r="G46">
        <v>3202</v>
      </c>
    </row>
    <row r="47" spans="1:12" x14ac:dyDescent="0.2">
      <c r="A47" t="s">
        <v>188</v>
      </c>
    </row>
    <row r="48" spans="1:12" x14ac:dyDescent="0.2">
      <c r="A48" t="s">
        <v>189</v>
      </c>
      <c r="C48">
        <v>379</v>
      </c>
      <c r="D48">
        <v>707</v>
      </c>
      <c r="E48">
        <v>768</v>
      </c>
      <c r="F48">
        <v>1054</v>
      </c>
      <c r="G48">
        <v>1018</v>
      </c>
    </row>
    <row r="49" spans="1:7" x14ac:dyDescent="0.2">
      <c r="A49" t="s">
        <v>190</v>
      </c>
      <c r="C49">
        <v>1767</v>
      </c>
      <c r="D49">
        <v>1927</v>
      </c>
      <c r="E49">
        <v>1866</v>
      </c>
      <c r="F49">
        <v>2196</v>
      </c>
      <c r="G49">
        <v>2184</v>
      </c>
    </row>
    <row r="50" spans="1:7" x14ac:dyDescent="0.2">
      <c r="A50" t="s">
        <v>191</v>
      </c>
      <c r="B50">
        <v>129</v>
      </c>
      <c r="C50">
        <v>98</v>
      </c>
    </row>
    <row r="51" spans="1:7" x14ac:dyDescent="0.2">
      <c r="A51" t="s">
        <v>192</v>
      </c>
      <c r="B51">
        <v>169</v>
      </c>
      <c r="C51">
        <v>167</v>
      </c>
      <c r="D51">
        <v>371</v>
      </c>
      <c r="E51">
        <v>226</v>
      </c>
      <c r="F51">
        <v>253</v>
      </c>
      <c r="G51">
        <v>966</v>
      </c>
    </row>
    <row r="52" spans="1:7" x14ac:dyDescent="0.2">
      <c r="A52" t="s">
        <v>193</v>
      </c>
      <c r="B52">
        <v>163</v>
      </c>
    </row>
    <row r="53" spans="1:7" x14ac:dyDescent="0.2">
      <c r="A53" t="s">
        <v>194</v>
      </c>
      <c r="B53">
        <v>259</v>
      </c>
      <c r="C53">
        <v>1307</v>
      </c>
    </row>
    <row r="54" spans="1:7" x14ac:dyDescent="0.2">
      <c r="A54" t="s">
        <v>195</v>
      </c>
      <c r="B54">
        <v>461</v>
      </c>
      <c r="C54">
        <v>316</v>
      </c>
      <c r="D54">
        <v>200</v>
      </c>
      <c r="E54">
        <v>418</v>
      </c>
      <c r="F54">
        <v>387</v>
      </c>
      <c r="G54">
        <v>320</v>
      </c>
    </row>
    <row r="55" spans="1:7" x14ac:dyDescent="0.2">
      <c r="A55" t="s">
        <v>196</v>
      </c>
      <c r="B55">
        <v>2355</v>
      </c>
      <c r="C55">
        <v>2368</v>
      </c>
      <c r="D55">
        <v>3116</v>
      </c>
      <c r="E55">
        <v>2245</v>
      </c>
      <c r="F55">
        <v>2408</v>
      </c>
      <c r="G55">
        <v>1405</v>
      </c>
    </row>
    <row r="56" spans="1:7" x14ac:dyDescent="0.2">
      <c r="A56" t="s">
        <v>197</v>
      </c>
      <c r="B56">
        <v>6738</v>
      </c>
      <c r="C56">
        <v>7740</v>
      </c>
      <c r="D56">
        <v>7727</v>
      </c>
      <c r="E56">
        <v>7721</v>
      </c>
      <c r="F56">
        <v>6973</v>
      </c>
      <c r="G56">
        <v>5752</v>
      </c>
    </row>
    <row r="57" spans="1:7" x14ac:dyDescent="0.2">
      <c r="A57" t="s">
        <v>198</v>
      </c>
      <c r="B57">
        <v>1353</v>
      </c>
      <c r="C57">
        <v>1260</v>
      </c>
      <c r="D57">
        <v>1183</v>
      </c>
      <c r="E57">
        <v>1042</v>
      </c>
      <c r="F57">
        <v>936</v>
      </c>
      <c r="G57">
        <v>632</v>
      </c>
    </row>
    <row r="58" spans="1:7" x14ac:dyDescent="0.2">
      <c r="A58" t="s">
        <v>199</v>
      </c>
      <c r="B58">
        <v>305</v>
      </c>
      <c r="C58">
        <v>63</v>
      </c>
    </row>
    <row r="59" spans="1:7" x14ac:dyDescent="0.2">
      <c r="A59" t="s">
        <v>200</v>
      </c>
      <c r="B59">
        <v>26</v>
      </c>
    </row>
    <row r="60" spans="1:7" x14ac:dyDescent="0.2">
      <c r="A60" s="4" t="s">
        <v>201</v>
      </c>
      <c r="B60" s="4">
        <v>2870</v>
      </c>
      <c r="C60" s="4">
        <v>3561</v>
      </c>
      <c r="D60" s="4">
        <v>9778</v>
      </c>
      <c r="E60" s="4">
        <v>5153</v>
      </c>
      <c r="F60" s="4">
        <v>6396</v>
      </c>
      <c r="G60" s="4">
        <v>5158</v>
      </c>
    </row>
    <row r="61" spans="1:7" x14ac:dyDescent="0.2">
      <c r="A61" t="s">
        <v>202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</row>
    <row r="62" spans="1:7" x14ac:dyDescent="0.2">
      <c r="A62" t="s">
        <v>203</v>
      </c>
      <c r="B62">
        <v>16126</v>
      </c>
      <c r="C62">
        <v>16497</v>
      </c>
      <c r="D62">
        <v>16659</v>
      </c>
      <c r="E62">
        <v>17279</v>
      </c>
      <c r="F62">
        <v>17792</v>
      </c>
      <c r="G62">
        <v>18289</v>
      </c>
    </row>
    <row r="63" spans="1:7" x14ac:dyDescent="0.2">
      <c r="A63" t="s">
        <v>204</v>
      </c>
    </row>
    <row r="64" spans="1:7" x14ac:dyDescent="0.2">
      <c r="A64" t="s">
        <v>205</v>
      </c>
      <c r="B64">
        <v>-31396</v>
      </c>
      <c r="C64">
        <v>-36515</v>
      </c>
      <c r="D64">
        <v>-43371</v>
      </c>
      <c r="E64">
        <v>-46702</v>
      </c>
      <c r="F64">
        <v>-48114</v>
      </c>
      <c r="G64">
        <v>-51290</v>
      </c>
    </row>
    <row r="65" spans="1:7" x14ac:dyDescent="0.2">
      <c r="A65" t="s">
        <v>206</v>
      </c>
      <c r="B65">
        <v>17754</v>
      </c>
      <c r="C65">
        <v>22961</v>
      </c>
      <c r="D65">
        <v>36090</v>
      </c>
      <c r="E65">
        <v>34315</v>
      </c>
      <c r="F65">
        <v>36531</v>
      </c>
      <c r="G65">
        <v>37951</v>
      </c>
    </row>
    <row r="66" spans="1:7" x14ac:dyDescent="0.2">
      <c r="A66" t="s">
        <v>207</v>
      </c>
      <c r="B66">
        <v>384</v>
      </c>
      <c r="C66">
        <v>616</v>
      </c>
      <c r="D66">
        <v>398</v>
      </c>
      <c r="E66">
        <v>259</v>
      </c>
      <c r="F66">
        <v>185</v>
      </c>
      <c r="G66">
        <v>206</v>
      </c>
    </row>
    <row r="67" spans="1:7" x14ac:dyDescent="0.2">
      <c r="A67" s="4" t="s">
        <v>208</v>
      </c>
    </row>
    <row r="68" spans="1:7" x14ac:dyDescent="0.2">
      <c r="A68" t="s">
        <v>155</v>
      </c>
      <c r="B68">
        <v>-20.355844000000001</v>
      </c>
      <c r="C68">
        <v>6.2506880000000002</v>
      </c>
      <c r="D68">
        <v>37.887104000000001</v>
      </c>
      <c r="E68">
        <v>-21.693083000000001</v>
      </c>
      <c r="F68">
        <v>3.6930459999999998</v>
      </c>
      <c r="G68">
        <v>-10.430158</v>
      </c>
    </row>
    <row r="69" spans="1:7" x14ac:dyDescent="0.2">
      <c r="A69" t="s">
        <v>156</v>
      </c>
      <c r="B69">
        <v>-33.960144</v>
      </c>
      <c r="C69">
        <v>52.783679999999997</v>
      </c>
      <c r="D69">
        <v>26.717663000000002</v>
      </c>
      <c r="E69">
        <v>1.964658</v>
      </c>
      <c r="F69">
        <v>18.579117</v>
      </c>
      <c r="G69">
        <v>-31.309006</v>
      </c>
    </row>
    <row r="70" spans="1:7" x14ac:dyDescent="0.2">
      <c r="A70" t="s">
        <v>157</v>
      </c>
      <c r="B70">
        <v>-59.082653000000001</v>
      </c>
      <c r="C70">
        <v>22.197557</v>
      </c>
      <c r="D70">
        <v>25.249773000000001</v>
      </c>
      <c r="E70">
        <v>56.200145999999997</v>
      </c>
      <c r="F70">
        <v>-7.8458680000000003</v>
      </c>
      <c r="G70">
        <v>22.569269999999999</v>
      </c>
    </row>
    <row r="71" spans="1:7" x14ac:dyDescent="0.2">
      <c r="A71" t="s">
        <v>158</v>
      </c>
      <c r="B71">
        <v>-31.809805000000001</v>
      </c>
      <c r="C71">
        <v>29.297297</v>
      </c>
      <c r="D71">
        <v>148.49498</v>
      </c>
      <c r="E71">
        <v>-55.837820000000001</v>
      </c>
      <c r="F71">
        <v>-3.5047619999999999</v>
      </c>
      <c r="G71">
        <v>36.478484999999999</v>
      </c>
    </row>
    <row r="72" spans="1:7" x14ac:dyDescent="0.2">
      <c r="A72" t="s">
        <v>159</v>
      </c>
      <c r="B72" t="s">
        <v>209</v>
      </c>
      <c r="C72" t="s">
        <v>209</v>
      </c>
      <c r="D72" t="s">
        <v>209</v>
      </c>
      <c r="E72" t="s">
        <v>209</v>
      </c>
      <c r="F72">
        <v>66.19614</v>
      </c>
      <c r="G72">
        <v>-100</v>
      </c>
    </row>
    <row r="73" spans="1:7" x14ac:dyDescent="0.2">
      <c r="A73" t="s">
        <v>160</v>
      </c>
      <c r="B73" t="s">
        <v>209</v>
      </c>
      <c r="C73" t="s">
        <v>209</v>
      </c>
      <c r="D73" t="s">
        <v>209</v>
      </c>
      <c r="E73" t="s">
        <v>209</v>
      </c>
      <c r="F73" t="s">
        <v>209</v>
      </c>
      <c r="G73" t="s">
        <v>209</v>
      </c>
    </row>
    <row r="74" spans="1:7" x14ac:dyDescent="0.2">
      <c r="A74" t="s">
        <v>161</v>
      </c>
      <c r="B74" t="s">
        <v>209</v>
      </c>
      <c r="C74" t="s">
        <v>209</v>
      </c>
      <c r="D74" t="s">
        <v>209</v>
      </c>
      <c r="E74" t="s">
        <v>209</v>
      </c>
      <c r="F74" t="s">
        <v>209</v>
      </c>
      <c r="G74" t="s">
        <v>209</v>
      </c>
    </row>
    <row r="75" spans="1:7" x14ac:dyDescent="0.2">
      <c r="A75" t="s">
        <v>162</v>
      </c>
      <c r="B75" t="s">
        <v>209</v>
      </c>
      <c r="C75" t="s">
        <v>209</v>
      </c>
      <c r="D75">
        <v>134.82758999999999</v>
      </c>
      <c r="E75">
        <v>12.041116000000001</v>
      </c>
      <c r="F75">
        <v>32.7654</v>
      </c>
      <c r="G75">
        <v>-5.0345510000000004</v>
      </c>
    </row>
    <row r="76" spans="1:7" x14ac:dyDescent="0.2">
      <c r="A76" t="s">
        <v>163</v>
      </c>
      <c r="B76">
        <v>-26.775214999999999</v>
      </c>
      <c r="C76">
        <v>-29.462630999999998</v>
      </c>
      <c r="D76">
        <v>-3.0647989999999998</v>
      </c>
      <c r="E76">
        <v>-4.6070460000000004</v>
      </c>
      <c r="F76">
        <v>-4.2613630000000002</v>
      </c>
      <c r="G76">
        <v>-29.277943</v>
      </c>
    </row>
    <row r="77" spans="1:7" x14ac:dyDescent="0.2">
      <c r="A77" t="s">
        <v>164</v>
      </c>
      <c r="B77">
        <v>-22.050561999999999</v>
      </c>
      <c r="C77">
        <v>-34.774776000000003</v>
      </c>
      <c r="D77" t="s">
        <v>209</v>
      </c>
      <c r="E77" t="s">
        <v>209</v>
      </c>
      <c r="F77" t="s">
        <v>209</v>
      </c>
      <c r="G77" t="s">
        <v>209</v>
      </c>
    </row>
    <row r="78" spans="1:7" x14ac:dyDescent="0.2">
      <c r="A78" t="s">
        <v>165</v>
      </c>
      <c r="B78">
        <v>-29.019345999999999</v>
      </c>
      <c r="C78">
        <v>-26.691728999999999</v>
      </c>
      <c r="D78" t="s">
        <v>209</v>
      </c>
      <c r="E78" t="s">
        <v>209</v>
      </c>
      <c r="F78" t="s">
        <v>209</v>
      </c>
      <c r="G78" t="s">
        <v>209</v>
      </c>
    </row>
    <row r="79" spans="1:7" x14ac:dyDescent="0.2">
      <c r="A79" t="s">
        <v>166</v>
      </c>
      <c r="B79" t="s">
        <v>209</v>
      </c>
      <c r="C79" t="s">
        <v>209</v>
      </c>
      <c r="D79" t="s">
        <v>209</v>
      </c>
      <c r="E79" t="s">
        <v>209</v>
      </c>
      <c r="F79" t="s">
        <v>209</v>
      </c>
      <c r="G79" t="s">
        <v>209</v>
      </c>
    </row>
    <row r="80" spans="1:7" x14ac:dyDescent="0.2">
      <c r="A80" t="s">
        <v>167</v>
      </c>
      <c r="B80" t="s">
        <v>209</v>
      </c>
      <c r="C80">
        <v>1506.3829000000001</v>
      </c>
      <c r="D80" t="s">
        <v>209</v>
      </c>
      <c r="E80" t="s">
        <v>209</v>
      </c>
      <c r="F80" t="s">
        <v>209</v>
      </c>
      <c r="G80" t="s">
        <v>209</v>
      </c>
    </row>
    <row r="81" spans="1:7" x14ac:dyDescent="0.2">
      <c r="A81" t="s">
        <v>168</v>
      </c>
      <c r="B81">
        <v>-66.251980000000003</v>
      </c>
      <c r="C81">
        <v>-34.666668000000001</v>
      </c>
      <c r="D81">
        <v>209.12363999999999</v>
      </c>
      <c r="E81">
        <v>-30.213592999999999</v>
      </c>
      <c r="F81">
        <v>-37.173065000000001</v>
      </c>
      <c r="G81">
        <v>116.03188</v>
      </c>
    </row>
    <row r="82" spans="1:7" x14ac:dyDescent="0.2">
      <c r="A82" t="s">
        <v>169</v>
      </c>
      <c r="B82">
        <v>-8.5785850000000003</v>
      </c>
      <c r="C82">
        <v>-11.506849000000001</v>
      </c>
      <c r="D82">
        <v>-4.334365</v>
      </c>
      <c r="E82">
        <v>0.16181200000000001</v>
      </c>
      <c r="F82">
        <v>0.40387699999999999</v>
      </c>
      <c r="G82">
        <v>1.6090100000000001</v>
      </c>
    </row>
    <row r="83" spans="1:7" x14ac:dyDescent="0.2">
      <c r="A83" t="s">
        <v>170</v>
      </c>
      <c r="B83">
        <v>-12.151163</v>
      </c>
      <c r="C83">
        <v>-5.4709909999999997</v>
      </c>
      <c r="D83">
        <v>-2.4970829999999999</v>
      </c>
      <c r="E83">
        <v>2.0105309999999998</v>
      </c>
      <c r="F83">
        <v>0.117316</v>
      </c>
      <c r="G83">
        <v>4.6871000000000003E-2</v>
      </c>
    </row>
    <row r="84" spans="1:7" x14ac:dyDescent="0.2">
      <c r="A84" t="s">
        <v>171</v>
      </c>
      <c r="B84" t="s">
        <v>209</v>
      </c>
      <c r="C84">
        <v>-26.243568</v>
      </c>
      <c r="D84">
        <v>-32.790700000000001</v>
      </c>
      <c r="E84">
        <v>77.508650000000003</v>
      </c>
      <c r="F84">
        <v>-3.8986350000000001</v>
      </c>
      <c r="G84">
        <v>-13.387423999999999</v>
      </c>
    </row>
    <row r="85" spans="1:7" x14ac:dyDescent="0.2">
      <c r="A85" t="s">
        <v>172</v>
      </c>
      <c r="B85">
        <v>-16.944908000000002</v>
      </c>
      <c r="C85">
        <v>-11.130653000000001</v>
      </c>
      <c r="D85">
        <v>-7.9728580000000004</v>
      </c>
      <c r="E85">
        <v>-2.6420889999999999</v>
      </c>
      <c r="F85">
        <v>-2.5244559999999998</v>
      </c>
      <c r="G85">
        <v>-4.9530589999999997</v>
      </c>
    </row>
    <row r="86" spans="1:7" x14ac:dyDescent="0.2">
      <c r="A86" t="s">
        <v>173</v>
      </c>
      <c r="B86" t="s">
        <v>209</v>
      </c>
      <c r="C86">
        <v>-37.471527000000002</v>
      </c>
      <c r="D86" t="s">
        <v>209</v>
      </c>
      <c r="E86" t="s">
        <v>209</v>
      </c>
      <c r="F86" t="s">
        <v>209</v>
      </c>
      <c r="G86" t="s">
        <v>209</v>
      </c>
    </row>
    <row r="87" spans="1:7" x14ac:dyDescent="0.2">
      <c r="A87" t="s">
        <v>174</v>
      </c>
      <c r="B87" t="s">
        <v>209</v>
      </c>
      <c r="C87" t="s">
        <v>209</v>
      </c>
      <c r="D87" t="s">
        <v>209</v>
      </c>
      <c r="E87" t="s">
        <v>209</v>
      </c>
      <c r="F87" t="s">
        <v>209</v>
      </c>
      <c r="G87" t="s">
        <v>209</v>
      </c>
    </row>
    <row r="88" spans="1:7" x14ac:dyDescent="0.2">
      <c r="A88" t="s">
        <v>175</v>
      </c>
      <c r="B88" t="s">
        <v>209</v>
      </c>
      <c r="C88" t="s">
        <v>209</v>
      </c>
      <c r="D88" t="s">
        <v>209</v>
      </c>
      <c r="E88" t="s">
        <v>209</v>
      </c>
      <c r="F88" t="s">
        <v>209</v>
      </c>
      <c r="G88" t="s">
        <v>209</v>
      </c>
    </row>
    <row r="89" spans="1:7" x14ac:dyDescent="0.2">
      <c r="A89" t="s">
        <v>176</v>
      </c>
      <c r="B89">
        <v>23.770492999999998</v>
      </c>
      <c r="C89">
        <v>163.57615999999999</v>
      </c>
      <c r="D89">
        <v>-50.502513999999998</v>
      </c>
      <c r="E89">
        <v>-1.6920470000000001</v>
      </c>
      <c r="F89">
        <v>-34.079174000000002</v>
      </c>
      <c r="G89">
        <v>21.148824999999999</v>
      </c>
    </row>
    <row r="90" spans="1:7" x14ac:dyDescent="0.2">
      <c r="A90" t="s">
        <v>177</v>
      </c>
      <c r="B90">
        <v>-57.608696000000002</v>
      </c>
      <c r="C90">
        <v>-69.230770000000007</v>
      </c>
      <c r="D90" t="s">
        <v>209</v>
      </c>
      <c r="E90" t="s">
        <v>209</v>
      </c>
      <c r="F90" t="s">
        <v>209</v>
      </c>
      <c r="G90" t="s">
        <v>209</v>
      </c>
    </row>
    <row r="91" spans="1:7" x14ac:dyDescent="0.2">
      <c r="A91" t="s">
        <v>178</v>
      </c>
      <c r="B91">
        <v>51.094889999999999</v>
      </c>
      <c r="C91">
        <v>185.50725</v>
      </c>
      <c r="D91" t="s">
        <v>209</v>
      </c>
      <c r="E91" t="s">
        <v>209</v>
      </c>
      <c r="F91" t="s">
        <v>209</v>
      </c>
      <c r="G91" t="s">
        <v>209</v>
      </c>
    </row>
    <row r="92" spans="1:7" x14ac:dyDescent="0.2">
      <c r="A92" t="s">
        <v>179</v>
      </c>
      <c r="B92" t="s">
        <v>209</v>
      </c>
      <c r="C92">
        <v>274.02136000000002</v>
      </c>
      <c r="D92" t="s">
        <v>209</v>
      </c>
      <c r="E92" t="s">
        <v>209</v>
      </c>
      <c r="F92" t="s">
        <v>209</v>
      </c>
      <c r="G92" t="s">
        <v>209</v>
      </c>
    </row>
    <row r="93" spans="1:7" x14ac:dyDescent="0.2">
      <c r="A93" t="s">
        <v>180</v>
      </c>
      <c r="B93" t="s">
        <v>209</v>
      </c>
      <c r="C93">
        <v>-1.5037590000000001</v>
      </c>
      <c r="D93" t="s">
        <v>209</v>
      </c>
      <c r="E93" t="s">
        <v>209</v>
      </c>
      <c r="F93" t="s">
        <v>209</v>
      </c>
      <c r="G93" t="s">
        <v>209</v>
      </c>
    </row>
    <row r="94" spans="1:7" x14ac:dyDescent="0.2">
      <c r="A94" t="s">
        <v>181</v>
      </c>
      <c r="B94">
        <v>-20.355844000000001</v>
      </c>
      <c r="C94">
        <v>6.2506880000000002</v>
      </c>
      <c r="D94">
        <v>37.887104000000001</v>
      </c>
      <c r="E94">
        <v>-21.693083000000001</v>
      </c>
      <c r="F94">
        <v>3.6930459999999998</v>
      </c>
      <c r="G94">
        <v>-10.430158</v>
      </c>
    </row>
    <row r="95" spans="1:7" x14ac:dyDescent="0.2">
      <c r="A95" t="s">
        <v>182</v>
      </c>
      <c r="B95">
        <v>-7.4616040000000003</v>
      </c>
      <c r="C95">
        <v>2.9077359999999999</v>
      </c>
      <c r="D95">
        <v>6.9782209999999996</v>
      </c>
      <c r="E95">
        <v>-6.831671</v>
      </c>
      <c r="F95">
        <v>-3.013315</v>
      </c>
      <c r="G95">
        <v>-6.6802419999999998</v>
      </c>
    </row>
    <row r="96" spans="1:7" x14ac:dyDescent="0.2">
      <c r="A96" t="s">
        <v>183</v>
      </c>
      <c r="B96">
        <v>-8.7112700000000007</v>
      </c>
      <c r="C96">
        <v>-1.5740289999999999</v>
      </c>
      <c r="D96">
        <v>15.492254000000001</v>
      </c>
      <c r="E96">
        <v>-7.5941150000000004</v>
      </c>
      <c r="F96">
        <v>5.8300169999999998</v>
      </c>
      <c r="G96">
        <v>34.911503000000003</v>
      </c>
    </row>
    <row r="97" spans="1:7" x14ac:dyDescent="0.2">
      <c r="A97" t="s">
        <v>184</v>
      </c>
      <c r="B97">
        <v>-34.023285000000001</v>
      </c>
      <c r="C97">
        <v>-99.411766</v>
      </c>
      <c r="D97">
        <v>22483.333999999999</v>
      </c>
      <c r="E97">
        <v>-15.129151</v>
      </c>
      <c r="F97">
        <v>-34.782608000000003</v>
      </c>
      <c r="G97">
        <v>123.066666</v>
      </c>
    </row>
    <row r="98" spans="1:7" x14ac:dyDescent="0.2">
      <c r="A98" t="s">
        <v>185</v>
      </c>
      <c r="B98">
        <v>-19.930070000000001</v>
      </c>
      <c r="C98">
        <v>21.397379999999998</v>
      </c>
      <c r="D98">
        <v>-5.7553960000000002</v>
      </c>
      <c r="E98">
        <v>-0.38167899999999999</v>
      </c>
      <c r="F98">
        <v>2.2988499999999998</v>
      </c>
      <c r="G98">
        <v>-3.7453180000000001</v>
      </c>
    </row>
    <row r="99" spans="1:7" x14ac:dyDescent="0.2">
      <c r="A99" t="s">
        <v>186</v>
      </c>
      <c r="B99" t="s">
        <v>209</v>
      </c>
      <c r="C99" t="s">
        <v>209</v>
      </c>
      <c r="D99" t="s">
        <v>209</v>
      </c>
      <c r="E99" t="s">
        <v>209</v>
      </c>
      <c r="F99" t="s">
        <v>209</v>
      </c>
      <c r="G99" t="s">
        <v>209</v>
      </c>
    </row>
    <row r="100" spans="1:7" x14ac:dyDescent="0.2">
      <c r="A100" t="s">
        <v>187</v>
      </c>
      <c r="B100">
        <v>-10.192719</v>
      </c>
      <c r="C100">
        <v>2.3366709999999999</v>
      </c>
      <c r="D100">
        <v>22.739979999999999</v>
      </c>
      <c r="E100">
        <v>0</v>
      </c>
      <c r="F100">
        <v>23.386483999999999</v>
      </c>
      <c r="G100">
        <v>-1.476923</v>
      </c>
    </row>
    <row r="101" spans="1:7" x14ac:dyDescent="0.2">
      <c r="A101" t="s">
        <v>188</v>
      </c>
      <c r="B101" t="s">
        <v>209</v>
      </c>
      <c r="C101" t="s">
        <v>209</v>
      </c>
      <c r="D101" t="s">
        <v>209</v>
      </c>
      <c r="E101" t="s">
        <v>209</v>
      </c>
      <c r="F101" t="s">
        <v>209</v>
      </c>
      <c r="G101" t="s">
        <v>209</v>
      </c>
    </row>
    <row r="102" spans="1:7" x14ac:dyDescent="0.2">
      <c r="A102" t="s">
        <v>189</v>
      </c>
      <c r="B102" t="s">
        <v>209</v>
      </c>
      <c r="C102" t="s">
        <v>209</v>
      </c>
      <c r="D102">
        <v>86.543530000000004</v>
      </c>
      <c r="E102">
        <v>8.6280059999999992</v>
      </c>
      <c r="F102">
        <v>37.239581999999999</v>
      </c>
      <c r="G102">
        <v>-3.4155600000000002</v>
      </c>
    </row>
    <row r="103" spans="1:7" x14ac:dyDescent="0.2">
      <c r="A103" t="s">
        <v>190</v>
      </c>
      <c r="B103" t="s">
        <v>209</v>
      </c>
      <c r="C103" t="s">
        <v>209</v>
      </c>
      <c r="D103">
        <v>9.0548950000000001</v>
      </c>
      <c r="E103">
        <v>-3.1655419999999999</v>
      </c>
      <c r="F103">
        <v>17.684887</v>
      </c>
      <c r="G103">
        <v>-0.54644800000000004</v>
      </c>
    </row>
    <row r="104" spans="1:7" x14ac:dyDescent="0.2">
      <c r="A104" t="s">
        <v>191</v>
      </c>
      <c r="B104">
        <v>-24.117647000000002</v>
      </c>
      <c r="C104">
        <v>-24.031008</v>
      </c>
      <c r="D104" t="s">
        <v>209</v>
      </c>
      <c r="E104" t="s">
        <v>209</v>
      </c>
      <c r="F104" t="s">
        <v>209</v>
      </c>
      <c r="G104" t="s">
        <v>209</v>
      </c>
    </row>
    <row r="105" spans="1:7" x14ac:dyDescent="0.2">
      <c r="A105" t="s">
        <v>192</v>
      </c>
      <c r="B105">
        <v>44.444443</v>
      </c>
      <c r="C105">
        <v>-1.183432</v>
      </c>
      <c r="D105">
        <v>122.15568500000001</v>
      </c>
      <c r="E105">
        <v>-39.083556999999999</v>
      </c>
      <c r="F105">
        <v>11.946902</v>
      </c>
      <c r="G105">
        <v>281.81817999999998</v>
      </c>
    </row>
    <row r="106" spans="1:7" x14ac:dyDescent="0.2">
      <c r="A106" t="s">
        <v>193</v>
      </c>
      <c r="B106" t="s">
        <v>209</v>
      </c>
      <c r="C106" t="s">
        <v>209</v>
      </c>
      <c r="D106" t="s">
        <v>209</v>
      </c>
      <c r="E106" t="s">
        <v>209</v>
      </c>
      <c r="F106" t="s">
        <v>209</v>
      </c>
      <c r="G106" t="s">
        <v>209</v>
      </c>
    </row>
    <row r="107" spans="1:7" x14ac:dyDescent="0.2">
      <c r="A107" t="s">
        <v>194</v>
      </c>
      <c r="B107" t="s">
        <v>209</v>
      </c>
      <c r="C107">
        <v>404.63319999999999</v>
      </c>
      <c r="D107" t="s">
        <v>209</v>
      </c>
      <c r="E107" t="s">
        <v>209</v>
      </c>
      <c r="F107" t="s">
        <v>209</v>
      </c>
      <c r="G107" t="s">
        <v>209</v>
      </c>
    </row>
    <row r="108" spans="1:7" x14ac:dyDescent="0.2">
      <c r="A108" t="s">
        <v>195</v>
      </c>
      <c r="B108" t="s">
        <v>209</v>
      </c>
      <c r="C108">
        <v>-31.453361999999998</v>
      </c>
      <c r="D108">
        <v>-36.708862000000003</v>
      </c>
      <c r="E108">
        <v>109</v>
      </c>
      <c r="F108">
        <v>-7.4162679999999996</v>
      </c>
      <c r="G108">
        <v>-17.312662</v>
      </c>
    </row>
    <row r="109" spans="1:7" x14ac:dyDescent="0.2">
      <c r="A109" t="s">
        <v>196</v>
      </c>
      <c r="B109">
        <v>-19.487179000000001</v>
      </c>
      <c r="C109">
        <v>0.55201699999999998</v>
      </c>
      <c r="D109">
        <v>31.587837</v>
      </c>
      <c r="E109">
        <v>-27.952503</v>
      </c>
      <c r="F109">
        <v>7.2605789999999999</v>
      </c>
      <c r="G109">
        <v>-41.652824000000003</v>
      </c>
    </row>
    <row r="110" spans="1:7" x14ac:dyDescent="0.2">
      <c r="A110" t="s">
        <v>197</v>
      </c>
      <c r="B110">
        <v>-12.322706</v>
      </c>
      <c r="C110">
        <v>14.870882</v>
      </c>
      <c r="D110">
        <v>-0.167959</v>
      </c>
      <c r="E110">
        <v>-7.7649999999999997E-2</v>
      </c>
      <c r="F110">
        <v>-9.6878639999999994</v>
      </c>
      <c r="G110">
        <v>-17.510397000000001</v>
      </c>
    </row>
    <row r="111" spans="1:7" x14ac:dyDescent="0.2">
      <c r="A111" t="s">
        <v>198</v>
      </c>
      <c r="B111">
        <v>-8.2089549999999996</v>
      </c>
      <c r="C111">
        <v>-6.8736139999999999</v>
      </c>
      <c r="D111">
        <v>-6.1111110000000002</v>
      </c>
      <c r="E111">
        <v>-11.918850000000001</v>
      </c>
      <c r="F111">
        <v>-10.172745000000001</v>
      </c>
      <c r="G111">
        <v>-32.478634</v>
      </c>
    </row>
    <row r="112" spans="1:7" x14ac:dyDescent="0.2">
      <c r="A112" t="s">
        <v>199</v>
      </c>
      <c r="B112" t="s">
        <v>209</v>
      </c>
      <c r="C112">
        <v>-79.344260000000006</v>
      </c>
      <c r="D112" t="s">
        <v>209</v>
      </c>
      <c r="E112" t="s">
        <v>209</v>
      </c>
      <c r="F112" t="s">
        <v>209</v>
      </c>
      <c r="G112" t="s">
        <v>209</v>
      </c>
    </row>
    <row r="113" spans="1:7" x14ac:dyDescent="0.2">
      <c r="A113" t="s">
        <v>200</v>
      </c>
      <c r="B113" t="s">
        <v>209</v>
      </c>
      <c r="C113" t="s">
        <v>209</v>
      </c>
      <c r="D113" t="s">
        <v>209</v>
      </c>
      <c r="E113" t="s">
        <v>209</v>
      </c>
      <c r="F113" t="s">
        <v>209</v>
      </c>
      <c r="G113" t="s">
        <v>209</v>
      </c>
    </row>
    <row r="114" spans="1:7" x14ac:dyDescent="0.2">
      <c r="A114" t="s">
        <v>201</v>
      </c>
      <c r="B114">
        <v>-54.306640000000002</v>
      </c>
      <c r="C114">
        <v>24.076654000000001</v>
      </c>
      <c r="D114">
        <v>174.58578</v>
      </c>
      <c r="E114">
        <v>-47.300060000000002</v>
      </c>
      <c r="F114">
        <v>24.121870000000001</v>
      </c>
      <c r="G114">
        <v>-19.355848000000002</v>
      </c>
    </row>
    <row r="115" spans="1:7" x14ac:dyDescent="0.2">
      <c r="A115" t="s">
        <v>202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 t="s">
        <v>203</v>
      </c>
      <c r="B116">
        <v>2.608806</v>
      </c>
      <c r="C116">
        <v>2.3006319999999998</v>
      </c>
      <c r="D116">
        <v>0.98199700000000001</v>
      </c>
      <c r="E116">
        <v>3.7217120000000001</v>
      </c>
      <c r="F116">
        <v>2.9689220000000001</v>
      </c>
      <c r="G116">
        <v>2.79339</v>
      </c>
    </row>
    <row r="117" spans="1:7" x14ac:dyDescent="0.2">
      <c r="A117" t="s">
        <v>204</v>
      </c>
      <c r="B117" t="s">
        <v>209</v>
      </c>
      <c r="C117" t="s">
        <v>209</v>
      </c>
      <c r="D117" t="s">
        <v>209</v>
      </c>
      <c r="E117" t="s">
        <v>209</v>
      </c>
      <c r="F117" t="s">
        <v>209</v>
      </c>
      <c r="G117" t="s">
        <v>209</v>
      </c>
    </row>
    <row r="118" spans="1:7" x14ac:dyDescent="0.2">
      <c r="A118" t="s">
        <v>205</v>
      </c>
      <c r="B118">
        <v>-18.951277000000001</v>
      </c>
      <c r="C118">
        <v>-16.304625000000001</v>
      </c>
      <c r="D118">
        <v>-18.775846000000001</v>
      </c>
      <c r="E118">
        <v>-7.6802469999999996</v>
      </c>
      <c r="F118">
        <v>-3.023425</v>
      </c>
      <c r="G118">
        <v>-6.6009890000000002</v>
      </c>
    </row>
    <row r="119" spans="1:7" x14ac:dyDescent="0.2">
      <c r="A119" t="s">
        <v>206</v>
      </c>
      <c r="B119">
        <v>7.868036</v>
      </c>
      <c r="C119">
        <v>29.328602</v>
      </c>
      <c r="D119">
        <v>57.179564999999997</v>
      </c>
      <c r="E119">
        <v>-4.9182600000000001</v>
      </c>
      <c r="F119">
        <v>6.4578170000000004</v>
      </c>
      <c r="G119">
        <v>3.8871099999999998</v>
      </c>
    </row>
    <row r="120" spans="1:7" x14ac:dyDescent="0.2">
      <c r="A120" t="s">
        <v>207</v>
      </c>
      <c r="B120">
        <v>-22.891565</v>
      </c>
      <c r="C120">
        <v>60.416668000000001</v>
      </c>
      <c r="D120">
        <v>-35.389609999999998</v>
      </c>
      <c r="E120">
        <v>-34.924619999999997</v>
      </c>
      <c r="F120">
        <v>-28.571428000000001</v>
      </c>
      <c r="G120">
        <v>11.351352</v>
      </c>
    </row>
    <row r="121" spans="1:7" x14ac:dyDescent="0.2">
      <c r="A121" t="s">
        <v>210</v>
      </c>
    </row>
    <row r="122" spans="1:7" x14ac:dyDescent="0.2">
      <c r="A122" t="s">
        <v>155</v>
      </c>
      <c r="B122">
        <v>100</v>
      </c>
      <c r="C122">
        <v>100</v>
      </c>
      <c r="D122">
        <v>100</v>
      </c>
      <c r="E122">
        <v>100</v>
      </c>
      <c r="F122">
        <v>100</v>
      </c>
      <c r="G122">
        <v>100</v>
      </c>
    </row>
    <row r="123" spans="1:7" x14ac:dyDescent="0.2">
      <c r="A123" t="s">
        <v>156</v>
      </c>
      <c r="B123">
        <v>25.894134000000001</v>
      </c>
      <c r="C123">
        <v>37.234592999999997</v>
      </c>
      <c r="D123">
        <v>34.218432999999997</v>
      </c>
      <c r="E123">
        <v>44.556355000000003</v>
      </c>
      <c r="F123">
        <v>50.952821</v>
      </c>
      <c r="G123">
        <v>39.075651999999998</v>
      </c>
    </row>
    <row r="124" spans="1:7" x14ac:dyDescent="0.2">
      <c r="A124" t="s">
        <v>157</v>
      </c>
      <c r="B124">
        <v>4.9576320000000003</v>
      </c>
      <c r="C124">
        <v>5.7017090000000001</v>
      </c>
      <c r="D124">
        <v>5.1791479999999996</v>
      </c>
      <c r="E124">
        <v>10.330935</v>
      </c>
      <c r="F124">
        <v>9.1813140000000004</v>
      </c>
      <c r="G124">
        <v>12.563904000000001</v>
      </c>
    </row>
    <row r="125" spans="1:7" x14ac:dyDescent="0.2">
      <c r="A125" t="s">
        <v>158</v>
      </c>
      <c r="B125">
        <v>10.179377000000001</v>
      </c>
      <c r="C125">
        <v>12.387364</v>
      </c>
      <c r="D125">
        <v>22.324044000000001</v>
      </c>
      <c r="E125">
        <v>12.589928</v>
      </c>
      <c r="F125">
        <v>11.716004</v>
      </c>
      <c r="G125">
        <v>17.851794000000002</v>
      </c>
    </row>
    <row r="126" spans="1:7" x14ac:dyDescent="0.2">
      <c r="A126" t="s">
        <v>159</v>
      </c>
      <c r="B126" t="s">
        <v>209</v>
      </c>
      <c r="C126" t="s">
        <v>209</v>
      </c>
      <c r="D126">
        <v>0</v>
      </c>
      <c r="E126">
        <v>12.911270999999999</v>
      </c>
      <c r="F126">
        <v>20.693802000000002</v>
      </c>
      <c r="G126">
        <v>0</v>
      </c>
    </row>
    <row r="127" spans="1:7" x14ac:dyDescent="0.2">
      <c r="A127" t="s">
        <v>160</v>
      </c>
      <c r="B127" t="s">
        <v>209</v>
      </c>
      <c r="C127" t="s">
        <v>209</v>
      </c>
      <c r="D127" t="s">
        <v>209</v>
      </c>
      <c r="E127" t="s">
        <v>209</v>
      </c>
      <c r="F127" t="s">
        <v>209</v>
      </c>
      <c r="G127" t="s">
        <v>209</v>
      </c>
    </row>
    <row r="128" spans="1:7" x14ac:dyDescent="0.2">
      <c r="A128" t="s">
        <v>161</v>
      </c>
      <c r="B128" t="s">
        <v>209</v>
      </c>
      <c r="C128" t="s">
        <v>209</v>
      </c>
      <c r="D128" t="s">
        <v>209</v>
      </c>
      <c r="E128" t="s">
        <v>209</v>
      </c>
      <c r="F128" t="s">
        <v>209</v>
      </c>
      <c r="G128" t="s">
        <v>209</v>
      </c>
    </row>
    <row r="129" spans="1:7" x14ac:dyDescent="0.2">
      <c r="A129" t="s">
        <v>162</v>
      </c>
      <c r="B129" t="s">
        <v>209</v>
      </c>
      <c r="C129">
        <v>1.5018130000000001</v>
      </c>
      <c r="D129">
        <v>2.5576500000000002</v>
      </c>
      <c r="E129">
        <v>3.6594720000000001</v>
      </c>
      <c r="F129">
        <v>4.6854760000000004</v>
      </c>
      <c r="G129">
        <v>4.9677249999999997</v>
      </c>
    </row>
    <row r="130" spans="1:7" x14ac:dyDescent="0.2">
      <c r="A130" t="s">
        <v>163</v>
      </c>
      <c r="B130">
        <v>8.9083310000000004</v>
      </c>
      <c r="C130">
        <v>5.914034</v>
      </c>
      <c r="D130">
        <v>4.1575899999999999</v>
      </c>
      <c r="E130">
        <v>5.0647479999999998</v>
      </c>
      <c r="F130">
        <v>4.6762259999999998</v>
      </c>
      <c r="G130">
        <v>3.6922280000000001</v>
      </c>
    </row>
    <row r="131" spans="1:7" x14ac:dyDescent="0.2">
      <c r="A131" t="s">
        <v>164</v>
      </c>
      <c r="B131">
        <v>3.0538129999999999</v>
      </c>
      <c r="C131">
        <v>1.874676</v>
      </c>
      <c r="D131" t="s">
        <v>209</v>
      </c>
      <c r="E131" t="s">
        <v>209</v>
      </c>
      <c r="F131" t="s">
        <v>209</v>
      </c>
      <c r="G131" t="s">
        <v>209</v>
      </c>
    </row>
    <row r="132" spans="1:7" x14ac:dyDescent="0.2">
      <c r="A132" t="s">
        <v>165</v>
      </c>
      <c r="B132">
        <v>5.8545170000000004</v>
      </c>
      <c r="C132">
        <v>4.039358</v>
      </c>
      <c r="D132" t="s">
        <v>209</v>
      </c>
      <c r="E132" t="s">
        <v>209</v>
      </c>
      <c r="F132" t="s">
        <v>209</v>
      </c>
      <c r="G132" t="s">
        <v>209</v>
      </c>
    </row>
    <row r="133" spans="1:7" x14ac:dyDescent="0.2">
      <c r="A133" t="s">
        <v>166</v>
      </c>
      <c r="B133">
        <v>1.0729610000000001</v>
      </c>
      <c r="C133" t="s">
        <v>209</v>
      </c>
      <c r="D133" t="s">
        <v>209</v>
      </c>
      <c r="E133" t="s">
        <v>209</v>
      </c>
      <c r="F133" t="s">
        <v>209</v>
      </c>
      <c r="G133" t="s">
        <v>209</v>
      </c>
    </row>
    <row r="134" spans="1:7" x14ac:dyDescent="0.2">
      <c r="A134" t="s">
        <v>167</v>
      </c>
      <c r="B134">
        <v>0.77583400000000002</v>
      </c>
      <c r="C134">
        <v>11.729673999999999</v>
      </c>
      <c r="D134" t="s">
        <v>209</v>
      </c>
      <c r="E134" t="s">
        <v>209</v>
      </c>
      <c r="F134" t="s">
        <v>209</v>
      </c>
      <c r="G134" t="s">
        <v>209</v>
      </c>
    </row>
    <row r="135" spans="1:7" x14ac:dyDescent="0.2">
      <c r="A135" t="s">
        <v>168</v>
      </c>
      <c r="B135">
        <v>7.015517</v>
      </c>
      <c r="C135">
        <v>4.3138269999999999</v>
      </c>
      <c r="D135">
        <v>9.6709980000000009</v>
      </c>
      <c r="E135">
        <v>8.6187050000000003</v>
      </c>
      <c r="F135">
        <v>5.2220170000000001</v>
      </c>
      <c r="G135">
        <v>12.594887999999999</v>
      </c>
    </row>
    <row r="136" spans="1:7" x14ac:dyDescent="0.2">
      <c r="A136" t="s">
        <v>169</v>
      </c>
      <c r="B136">
        <v>8.0334540000000008</v>
      </c>
      <c r="C136">
        <v>6.6908339999999997</v>
      </c>
      <c r="D136">
        <v>4.6420789999999998</v>
      </c>
      <c r="E136">
        <v>5.9376499999999997</v>
      </c>
      <c r="F136">
        <v>5.7493059999999998</v>
      </c>
      <c r="G136">
        <v>6.5220760000000002</v>
      </c>
    </row>
    <row r="137" spans="1:7" x14ac:dyDescent="0.2">
      <c r="A137" t="s">
        <v>170</v>
      </c>
      <c r="B137">
        <v>24.942225000000001</v>
      </c>
      <c r="C137">
        <v>22.190574999999999</v>
      </c>
      <c r="D137">
        <v>15.691428999999999</v>
      </c>
      <c r="E137">
        <v>20.441247000000001</v>
      </c>
      <c r="F137">
        <v>19.736355</v>
      </c>
      <c r="G137">
        <v>22.044926</v>
      </c>
    </row>
    <row r="138" spans="1:7" x14ac:dyDescent="0.2">
      <c r="A138" t="s">
        <v>171</v>
      </c>
      <c r="B138">
        <v>3.2078790000000001</v>
      </c>
      <c r="C138">
        <v>2.2268249999999998</v>
      </c>
      <c r="D138">
        <v>1.085405</v>
      </c>
      <c r="E138">
        <v>2.460432</v>
      </c>
      <c r="F138">
        <v>2.2802959999999999</v>
      </c>
      <c r="G138">
        <v>2.205009</v>
      </c>
    </row>
    <row r="139" spans="1:7" x14ac:dyDescent="0.2">
      <c r="A139" t="s">
        <v>172</v>
      </c>
      <c r="B139">
        <v>21.899417</v>
      </c>
      <c r="C139">
        <v>18.316934</v>
      </c>
      <c r="D139">
        <v>12.224893</v>
      </c>
      <c r="E139">
        <v>15.199040999999999</v>
      </c>
      <c r="F139">
        <v>14.287697</v>
      </c>
      <c r="G139">
        <v>15.161374</v>
      </c>
    </row>
    <row r="140" spans="1:7" x14ac:dyDescent="0.2">
      <c r="A140" t="s">
        <v>173</v>
      </c>
      <c r="B140">
        <v>4.8310769999999996</v>
      </c>
      <c r="C140">
        <v>2.843086</v>
      </c>
      <c r="D140" t="s">
        <v>209</v>
      </c>
      <c r="E140" t="s">
        <v>209</v>
      </c>
      <c r="F140" t="s">
        <v>209</v>
      </c>
      <c r="G140" t="s">
        <v>209</v>
      </c>
    </row>
    <row r="141" spans="1:7" x14ac:dyDescent="0.2">
      <c r="A141" t="s">
        <v>174</v>
      </c>
      <c r="B141">
        <v>1.683724</v>
      </c>
      <c r="C141" t="s">
        <v>209</v>
      </c>
      <c r="D141" t="s">
        <v>209</v>
      </c>
      <c r="E141" t="s">
        <v>209</v>
      </c>
      <c r="F141" t="s">
        <v>209</v>
      </c>
      <c r="G141" t="s">
        <v>209</v>
      </c>
    </row>
    <row r="142" spans="1:7" x14ac:dyDescent="0.2">
      <c r="A142" t="s">
        <v>175</v>
      </c>
      <c r="B142" t="s">
        <v>209</v>
      </c>
      <c r="C142">
        <v>0</v>
      </c>
      <c r="D142">
        <v>20.247126999999999</v>
      </c>
      <c r="E142" t="s">
        <v>209</v>
      </c>
      <c r="F142" t="s">
        <v>209</v>
      </c>
      <c r="G142" t="s">
        <v>209</v>
      </c>
    </row>
    <row r="143" spans="1:7" x14ac:dyDescent="0.2">
      <c r="A143" t="s">
        <v>176</v>
      </c>
      <c r="B143">
        <v>2.492572</v>
      </c>
      <c r="C143">
        <v>6.183325</v>
      </c>
      <c r="D143">
        <v>2.2196349999999998</v>
      </c>
      <c r="E143">
        <v>2.7865709999999999</v>
      </c>
      <c r="F143">
        <v>1.7715080000000001</v>
      </c>
      <c r="G143">
        <v>2.3960750000000002</v>
      </c>
    </row>
    <row r="144" spans="1:7" x14ac:dyDescent="0.2">
      <c r="A144" t="s">
        <v>177</v>
      </c>
      <c r="B144">
        <v>0.214592</v>
      </c>
      <c r="C144">
        <v>6.2143999999999998E-2</v>
      </c>
      <c r="D144" t="s">
        <v>209</v>
      </c>
      <c r="E144" t="s">
        <v>209</v>
      </c>
      <c r="F144" t="s">
        <v>209</v>
      </c>
      <c r="G144" t="s">
        <v>209</v>
      </c>
    </row>
    <row r="145" spans="1:7" x14ac:dyDescent="0.2">
      <c r="A145" t="s">
        <v>178</v>
      </c>
      <c r="B145">
        <v>2.2779799999999999</v>
      </c>
      <c r="C145">
        <v>6.121181</v>
      </c>
      <c r="D145" t="s">
        <v>209</v>
      </c>
      <c r="E145" t="s">
        <v>209</v>
      </c>
      <c r="F145" t="s">
        <v>209</v>
      </c>
      <c r="G145" t="s">
        <v>209</v>
      </c>
    </row>
    <row r="146" spans="1:7" x14ac:dyDescent="0.2">
      <c r="A146" t="s">
        <v>179</v>
      </c>
      <c r="B146">
        <v>1.546165</v>
      </c>
      <c r="C146">
        <v>5.4427760000000003</v>
      </c>
      <c r="D146" t="s">
        <v>209</v>
      </c>
      <c r="E146" t="s">
        <v>209</v>
      </c>
      <c r="F146" t="s">
        <v>209</v>
      </c>
      <c r="G146" t="s">
        <v>209</v>
      </c>
    </row>
    <row r="147" spans="1:7" x14ac:dyDescent="0.2">
      <c r="A147" t="s">
        <v>180</v>
      </c>
      <c r="B147">
        <v>0.73181499999999999</v>
      </c>
      <c r="C147">
        <v>0.67840500000000004</v>
      </c>
      <c r="D147" t="s">
        <v>209</v>
      </c>
      <c r="E147" t="s">
        <v>209</v>
      </c>
      <c r="F147" t="s">
        <v>209</v>
      </c>
      <c r="G147" t="s">
        <v>209</v>
      </c>
    </row>
    <row r="148" spans="1:7" x14ac:dyDescent="0.2">
      <c r="A148" t="s">
        <v>181</v>
      </c>
      <c r="B148">
        <v>100</v>
      </c>
      <c r="C148">
        <v>100</v>
      </c>
      <c r="D148">
        <v>100</v>
      </c>
      <c r="E148">
        <v>100</v>
      </c>
      <c r="F148">
        <v>100</v>
      </c>
      <c r="G148">
        <v>100</v>
      </c>
    </row>
    <row r="149" spans="1:7" x14ac:dyDescent="0.2">
      <c r="A149" s="65" t="s">
        <v>182</v>
      </c>
      <c r="B149" s="65">
        <v>84.208209999999994</v>
      </c>
      <c r="C149" s="65">
        <v>81.558778000000004</v>
      </c>
      <c r="D149" s="65">
        <v>63.276496999999999</v>
      </c>
      <c r="E149" s="65">
        <v>75.285371999999995</v>
      </c>
      <c r="F149" s="65">
        <v>70.416280999999998</v>
      </c>
      <c r="G149" s="65">
        <v>73.364317</v>
      </c>
    </row>
    <row r="150" spans="1:7" x14ac:dyDescent="0.2">
      <c r="A150" t="s">
        <v>183</v>
      </c>
      <c r="B150">
        <v>22.372620000000001</v>
      </c>
      <c r="C150">
        <v>20.725013000000001</v>
      </c>
      <c r="D150">
        <v>17.358972000000001</v>
      </c>
      <c r="E150">
        <v>20.484411999999999</v>
      </c>
      <c r="F150">
        <v>20.906568</v>
      </c>
      <c r="G150">
        <v>31.489801</v>
      </c>
    </row>
    <row r="151" spans="1:7" x14ac:dyDescent="0.2">
      <c r="A151" t="s">
        <v>184</v>
      </c>
      <c r="B151">
        <v>5.6124130000000001</v>
      </c>
      <c r="C151">
        <v>3.1071999999999999E-2</v>
      </c>
      <c r="D151">
        <v>5.0890110000000002</v>
      </c>
      <c r="E151">
        <v>5.5155880000000002</v>
      </c>
      <c r="F151">
        <v>3.4690099999999999</v>
      </c>
      <c r="G151">
        <v>8.6392980000000001</v>
      </c>
    </row>
    <row r="152" spans="1:7" x14ac:dyDescent="0.2">
      <c r="A152" t="s">
        <v>185</v>
      </c>
      <c r="B152">
        <v>1.2600420000000001</v>
      </c>
      <c r="C152">
        <v>1.4396690000000001</v>
      </c>
      <c r="D152">
        <v>0.98400100000000001</v>
      </c>
      <c r="E152">
        <v>1.2517990000000001</v>
      </c>
      <c r="F152">
        <v>1.2349680000000001</v>
      </c>
      <c r="G152">
        <v>1.327137</v>
      </c>
    </row>
    <row r="153" spans="1:7" x14ac:dyDescent="0.2">
      <c r="A153" t="s">
        <v>186</v>
      </c>
      <c r="B153" t="s">
        <v>209</v>
      </c>
      <c r="C153" t="s">
        <v>209</v>
      </c>
      <c r="D153" t="s">
        <v>209</v>
      </c>
      <c r="E153" t="s">
        <v>209</v>
      </c>
      <c r="F153" t="s">
        <v>209</v>
      </c>
      <c r="G153" t="s">
        <v>209</v>
      </c>
    </row>
    <row r="154" spans="1:7" x14ac:dyDescent="0.2">
      <c r="A154" t="s">
        <v>187</v>
      </c>
      <c r="B154">
        <v>11.538462000000001</v>
      </c>
      <c r="C154">
        <v>11.113413</v>
      </c>
      <c r="D154">
        <v>9.8925859999999997</v>
      </c>
      <c r="E154">
        <v>12.633094</v>
      </c>
      <c r="F154">
        <v>15.032377</v>
      </c>
      <c r="G154">
        <v>16.534986</v>
      </c>
    </row>
    <row r="155" spans="1:7" x14ac:dyDescent="0.2">
      <c r="A155" t="s">
        <v>188</v>
      </c>
      <c r="B155" t="s">
        <v>209</v>
      </c>
      <c r="C155" t="s">
        <v>209</v>
      </c>
      <c r="D155" t="s">
        <v>209</v>
      </c>
      <c r="E155" t="s">
        <v>209</v>
      </c>
      <c r="F155" t="s">
        <v>209</v>
      </c>
      <c r="G155" t="s">
        <v>209</v>
      </c>
    </row>
    <row r="156" spans="1:7" x14ac:dyDescent="0.2">
      <c r="A156" t="s">
        <v>189</v>
      </c>
      <c r="B156" t="s">
        <v>209</v>
      </c>
      <c r="C156">
        <v>1.9627140000000001</v>
      </c>
      <c r="D156">
        <v>2.6552989999999999</v>
      </c>
      <c r="E156">
        <v>3.6834530000000001</v>
      </c>
      <c r="F156">
        <v>4.8751160000000002</v>
      </c>
      <c r="G156">
        <v>5.256907</v>
      </c>
    </row>
    <row r="157" spans="1:7" x14ac:dyDescent="0.2">
      <c r="A157" t="s">
        <v>190</v>
      </c>
      <c r="B157" t="s">
        <v>209</v>
      </c>
      <c r="C157">
        <v>9.1506989999999995</v>
      </c>
      <c r="D157">
        <v>7.2372870000000002</v>
      </c>
      <c r="E157">
        <v>8.9496400000000005</v>
      </c>
      <c r="F157">
        <v>10.157261999999999</v>
      </c>
      <c r="G157">
        <v>11.278079</v>
      </c>
    </row>
    <row r="158" spans="1:7" x14ac:dyDescent="0.2">
      <c r="A158" t="s">
        <v>191</v>
      </c>
      <c r="B158">
        <v>0.70980500000000002</v>
      </c>
      <c r="C158">
        <v>0.50750899999999999</v>
      </c>
      <c r="D158" t="s">
        <v>209</v>
      </c>
      <c r="E158" t="s">
        <v>209</v>
      </c>
      <c r="F158" t="s">
        <v>209</v>
      </c>
      <c r="G158" t="s">
        <v>209</v>
      </c>
    </row>
    <row r="159" spans="1:7" x14ac:dyDescent="0.2">
      <c r="A159" t="s">
        <v>192</v>
      </c>
      <c r="B159">
        <v>0.92989999999999995</v>
      </c>
      <c r="C159">
        <v>0.86483699999999997</v>
      </c>
      <c r="D159">
        <v>1.393375</v>
      </c>
      <c r="E159">
        <v>1.083933</v>
      </c>
      <c r="F159">
        <v>1.1702129999999999</v>
      </c>
      <c r="G159">
        <v>4.9883810000000004</v>
      </c>
    </row>
    <row r="160" spans="1:7" x14ac:dyDescent="0.2">
      <c r="A160" t="s">
        <v>193</v>
      </c>
      <c r="B160">
        <v>0.89688599999999996</v>
      </c>
      <c r="C160" t="s">
        <v>209</v>
      </c>
      <c r="D160" t="s">
        <v>209</v>
      </c>
      <c r="E160" t="s">
        <v>209</v>
      </c>
      <c r="F160" t="s">
        <v>209</v>
      </c>
      <c r="G160" t="s">
        <v>209</v>
      </c>
    </row>
    <row r="161" spans="1:7" x14ac:dyDescent="0.2">
      <c r="A161" t="s">
        <v>194</v>
      </c>
      <c r="B161">
        <v>1.4251130000000001</v>
      </c>
      <c r="C161">
        <v>6.7685139999999997</v>
      </c>
      <c r="D161" t="s">
        <v>209</v>
      </c>
      <c r="E161" t="s">
        <v>209</v>
      </c>
      <c r="F161" t="s">
        <v>209</v>
      </c>
      <c r="G161" t="s">
        <v>209</v>
      </c>
    </row>
    <row r="162" spans="1:7" x14ac:dyDescent="0.2">
      <c r="A162" t="s">
        <v>195</v>
      </c>
      <c r="B162">
        <v>2.536591</v>
      </c>
      <c r="C162">
        <v>1.636458</v>
      </c>
      <c r="D162">
        <v>0.75114499999999995</v>
      </c>
      <c r="E162">
        <v>2.0047959999999998</v>
      </c>
      <c r="F162">
        <v>1.790009</v>
      </c>
      <c r="G162">
        <v>1.652466</v>
      </c>
    </row>
    <row r="163" spans="1:7" x14ac:dyDescent="0.2">
      <c r="A163" t="s">
        <v>196</v>
      </c>
      <c r="B163">
        <v>12.958072</v>
      </c>
      <c r="C163">
        <v>12.263076</v>
      </c>
      <c r="D163">
        <v>11.702847</v>
      </c>
      <c r="E163">
        <v>10.767386</v>
      </c>
      <c r="F163">
        <v>11.137835000000001</v>
      </c>
      <c r="G163">
        <v>7.2553580000000002</v>
      </c>
    </row>
    <row r="164" spans="1:7" x14ac:dyDescent="0.2">
      <c r="A164" t="s">
        <v>197</v>
      </c>
      <c r="B164">
        <v>37.074942</v>
      </c>
      <c r="C164">
        <v>40.082858999999999</v>
      </c>
      <c r="D164">
        <v>29.020506000000001</v>
      </c>
      <c r="E164">
        <v>37.031174999999998</v>
      </c>
      <c r="F164">
        <v>32.252544</v>
      </c>
      <c r="G164">
        <v>29.703073</v>
      </c>
    </row>
    <row r="165" spans="1:7" x14ac:dyDescent="0.2">
      <c r="A165" t="s">
        <v>198</v>
      </c>
      <c r="B165">
        <v>7.4447010000000002</v>
      </c>
      <c r="C165">
        <v>6.5251169999999998</v>
      </c>
      <c r="D165">
        <v>4.4430259999999997</v>
      </c>
      <c r="E165">
        <v>4.9976019999999997</v>
      </c>
      <c r="F165">
        <v>4.3293249999999999</v>
      </c>
      <c r="G165">
        <v>3.26362</v>
      </c>
    </row>
    <row r="166" spans="1:7" x14ac:dyDescent="0.2">
      <c r="A166" t="s">
        <v>199</v>
      </c>
      <c r="B166">
        <v>1.6782220000000001</v>
      </c>
      <c r="C166">
        <v>0.32625599999999999</v>
      </c>
      <c r="D166" t="s">
        <v>209</v>
      </c>
      <c r="E166" t="s">
        <v>209</v>
      </c>
      <c r="F166" t="s">
        <v>209</v>
      </c>
      <c r="G166" t="s">
        <v>209</v>
      </c>
    </row>
    <row r="167" spans="1:7" x14ac:dyDescent="0.2">
      <c r="A167" t="s">
        <v>200</v>
      </c>
      <c r="B167">
        <v>0.14306199999999999</v>
      </c>
      <c r="C167" t="s">
        <v>209</v>
      </c>
      <c r="D167" t="s">
        <v>209</v>
      </c>
      <c r="E167" t="s">
        <v>209</v>
      </c>
      <c r="F167" t="s">
        <v>209</v>
      </c>
      <c r="G167" t="s">
        <v>209</v>
      </c>
    </row>
    <row r="168" spans="1:7" x14ac:dyDescent="0.2">
      <c r="A168" s="65" t="s">
        <v>201</v>
      </c>
      <c r="B168" s="65">
        <v>15.791790000000001</v>
      </c>
      <c r="C168" s="65">
        <v>18.441222</v>
      </c>
      <c r="D168" s="65">
        <v>36.723503000000001</v>
      </c>
      <c r="E168" s="65">
        <v>24.714628000000001</v>
      </c>
      <c r="F168" s="65">
        <v>29.583718999999999</v>
      </c>
      <c r="G168" s="65">
        <v>26.635683</v>
      </c>
    </row>
    <row r="169" spans="1:7" x14ac:dyDescent="0.2">
      <c r="A169" t="s">
        <v>202</v>
      </c>
      <c r="B169">
        <v>1.1004999999999999E-2</v>
      </c>
      <c r="C169">
        <v>1.0357E-2</v>
      </c>
      <c r="D169">
        <v>7.5110000000000003E-3</v>
      </c>
      <c r="E169">
        <v>9.5919999999999998E-3</v>
      </c>
      <c r="F169">
        <v>9.2510000000000005E-3</v>
      </c>
      <c r="G169">
        <v>1.0328E-2</v>
      </c>
    </row>
    <row r="170" spans="1:7" x14ac:dyDescent="0.2">
      <c r="A170" t="s">
        <v>203</v>
      </c>
      <c r="B170">
        <v>88.731154000000004</v>
      </c>
      <c r="C170">
        <v>85.432417999999998</v>
      </c>
      <c r="D170">
        <v>62.566664000000003</v>
      </c>
      <c r="E170">
        <v>82.872901999999996</v>
      </c>
      <c r="F170">
        <v>82.294172000000003</v>
      </c>
      <c r="G170">
        <v>94.443584000000001</v>
      </c>
    </row>
    <row r="171" spans="1:7" x14ac:dyDescent="0.2">
      <c r="A171" t="s">
        <v>204</v>
      </c>
      <c r="B171" t="s">
        <v>209</v>
      </c>
      <c r="C171" t="s">
        <v>209</v>
      </c>
      <c r="D171" t="s">
        <v>209</v>
      </c>
      <c r="E171" t="s">
        <v>209</v>
      </c>
      <c r="F171" t="s">
        <v>209</v>
      </c>
      <c r="G171" t="s">
        <v>209</v>
      </c>
    </row>
    <row r="172" spans="1:7" x14ac:dyDescent="0.2">
      <c r="A172" t="s">
        <v>205</v>
      </c>
      <c r="B172">
        <v>-172.75228300000001</v>
      </c>
      <c r="C172">
        <v>-189.09891200000001</v>
      </c>
      <c r="D172">
        <v>-162.889657</v>
      </c>
      <c r="E172">
        <v>-223.990408</v>
      </c>
      <c r="F172">
        <v>-222.54394099999999</v>
      </c>
      <c r="G172">
        <v>-264.85928200000001</v>
      </c>
    </row>
    <row r="173" spans="1:7" x14ac:dyDescent="0.2">
      <c r="A173" t="s">
        <v>206</v>
      </c>
      <c r="B173">
        <v>97.689006000000006</v>
      </c>
      <c r="C173">
        <v>118.907302</v>
      </c>
      <c r="D173">
        <v>135.54420500000001</v>
      </c>
      <c r="E173">
        <v>164.58033599999999</v>
      </c>
      <c r="F173">
        <v>168.968548</v>
      </c>
      <c r="G173">
        <v>195.97727900000001</v>
      </c>
    </row>
    <row r="174" spans="1:7" x14ac:dyDescent="0.2">
      <c r="A174" t="s">
        <v>207</v>
      </c>
      <c r="B174">
        <v>2.1129090000000001</v>
      </c>
      <c r="C174">
        <v>3.1900569999999999</v>
      </c>
      <c r="D174">
        <v>1.49478</v>
      </c>
      <c r="E174">
        <v>1.2422059999999999</v>
      </c>
      <c r="F174">
        <v>0.85568900000000003</v>
      </c>
      <c r="G174">
        <v>1.0637749999999999</v>
      </c>
    </row>
    <row r="175" spans="1:7" x14ac:dyDescent="0.2">
      <c r="A175" t="s">
        <v>211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BDD9-1B3E-8D4D-A9D8-AD986CC10B9F}">
  <dimension ref="A1:L91"/>
  <sheetViews>
    <sheetView topLeftCell="A37" workbookViewId="0">
      <selection activeCell="H58" sqref="H58"/>
    </sheetView>
  </sheetViews>
  <sheetFormatPr baseColWidth="10" defaultRowHeight="15" x14ac:dyDescent="0.2"/>
  <cols>
    <col min="1" max="1" width="67.33203125" customWidth="1"/>
  </cols>
  <sheetData>
    <row r="1" spans="1:7" x14ac:dyDescent="0.2">
      <c r="A1" t="s">
        <v>105</v>
      </c>
    </row>
    <row r="2" spans="1:7" x14ac:dyDescent="0.2">
      <c r="A2" t="s">
        <v>106</v>
      </c>
    </row>
    <row r="3" spans="1:7" x14ac:dyDescent="0.2">
      <c r="B3" t="s">
        <v>112</v>
      </c>
      <c r="C3" t="s">
        <v>111</v>
      </c>
      <c r="D3" t="s">
        <v>110</v>
      </c>
      <c r="E3" t="s">
        <v>109</v>
      </c>
      <c r="F3" t="s">
        <v>108</v>
      </c>
      <c r="G3" t="s">
        <v>107</v>
      </c>
    </row>
    <row r="4" spans="1:7" x14ac:dyDescent="0.2">
      <c r="B4" t="s">
        <v>113</v>
      </c>
      <c r="C4" t="s">
        <v>113</v>
      </c>
      <c r="D4" t="s">
        <v>113</v>
      </c>
      <c r="E4" t="s">
        <v>113</v>
      </c>
      <c r="F4" t="s">
        <v>113</v>
      </c>
    </row>
    <row r="5" spans="1:7" x14ac:dyDescent="0.2">
      <c r="A5" t="s">
        <v>350</v>
      </c>
      <c r="B5">
        <v>3114</v>
      </c>
      <c r="C5">
        <v>2419</v>
      </c>
      <c r="D5">
        <v>2657</v>
      </c>
      <c r="E5">
        <v>2254</v>
      </c>
      <c r="F5">
        <v>2426</v>
      </c>
      <c r="G5">
        <v>2414</v>
      </c>
    </row>
    <row r="6" spans="1:7" x14ac:dyDescent="0.2">
      <c r="A6" t="s">
        <v>135</v>
      </c>
      <c r="B6">
        <v>1786</v>
      </c>
      <c r="C6">
        <v>5667</v>
      </c>
      <c r="D6">
        <v>13608</v>
      </c>
      <c r="E6">
        <v>-1269</v>
      </c>
      <c r="F6">
        <v>2767</v>
      </c>
      <c r="G6">
        <v>1975</v>
      </c>
    </row>
    <row r="7" spans="1:7" x14ac:dyDescent="0.2">
      <c r="A7" t="s">
        <v>134</v>
      </c>
      <c r="B7">
        <v>-353</v>
      </c>
      <c r="C7">
        <v>-3180</v>
      </c>
      <c r="D7">
        <v>-13356</v>
      </c>
      <c r="E7">
        <v>-5</v>
      </c>
      <c r="F7">
        <v>8</v>
      </c>
      <c r="G7">
        <v>6</v>
      </c>
    </row>
    <row r="8" spans="1:7" x14ac:dyDescent="0.2">
      <c r="A8" t="s">
        <v>351</v>
      </c>
      <c r="B8">
        <v>983</v>
      </c>
      <c r="C8">
        <v>517</v>
      </c>
      <c r="D8">
        <v>2841</v>
      </c>
      <c r="E8">
        <v>3901</v>
      </c>
      <c r="F8">
        <v>-344</v>
      </c>
      <c r="G8">
        <v>433</v>
      </c>
    </row>
    <row r="9" spans="1:7" x14ac:dyDescent="0.2">
      <c r="A9" t="s">
        <v>121</v>
      </c>
      <c r="B9">
        <v>262</v>
      </c>
      <c r="C9">
        <v>330</v>
      </c>
      <c r="D9">
        <v>422</v>
      </c>
      <c r="E9">
        <v>332</v>
      </c>
      <c r="F9">
        <v>360</v>
      </c>
      <c r="G9">
        <v>353</v>
      </c>
    </row>
    <row r="10" spans="1:7" x14ac:dyDescent="0.2">
      <c r="A10" t="s">
        <v>352</v>
      </c>
      <c r="B10">
        <v>600</v>
      </c>
      <c r="C10">
        <v>583</v>
      </c>
      <c r="D10">
        <v>502</v>
      </c>
      <c r="E10">
        <v>442</v>
      </c>
      <c r="F10">
        <v>403</v>
      </c>
      <c r="G10">
        <v>324</v>
      </c>
    </row>
    <row r="11" spans="1:7" x14ac:dyDescent="0.2">
      <c r="A11" t="s">
        <v>353</v>
      </c>
      <c r="B11">
        <v>415</v>
      </c>
      <c r="C11">
        <v>417</v>
      </c>
      <c r="D11">
        <v>477</v>
      </c>
      <c r="E11">
        <v>494</v>
      </c>
      <c r="F11">
        <v>575</v>
      </c>
      <c r="G11">
        <v>588</v>
      </c>
    </row>
    <row r="12" spans="1:7" x14ac:dyDescent="0.2">
      <c r="A12" t="s">
        <v>354</v>
      </c>
      <c r="B12">
        <v>0</v>
      </c>
      <c r="C12">
        <v>2</v>
      </c>
      <c r="D12">
        <v>-159</v>
      </c>
      <c r="E12">
        <v>21</v>
      </c>
      <c r="F12">
        <v>-5</v>
      </c>
      <c r="G12">
        <v>8</v>
      </c>
    </row>
    <row r="13" spans="1:7" x14ac:dyDescent="0.2">
      <c r="A13" t="s">
        <v>355</v>
      </c>
      <c r="B13">
        <v>52</v>
      </c>
    </row>
    <row r="14" spans="1:7" x14ac:dyDescent="0.2">
      <c r="A14" t="s">
        <v>356</v>
      </c>
      <c r="B14">
        <v>7</v>
      </c>
      <c r="C14">
        <v>414</v>
      </c>
      <c r="D14">
        <v>-680</v>
      </c>
      <c r="E14">
        <v>-780</v>
      </c>
      <c r="F14">
        <v>255</v>
      </c>
      <c r="G14">
        <v>-874</v>
      </c>
    </row>
    <row r="15" spans="1:7" x14ac:dyDescent="0.2">
      <c r="A15" t="s">
        <v>357</v>
      </c>
      <c r="B15">
        <v>-133</v>
      </c>
      <c r="C15">
        <v>-770</v>
      </c>
      <c r="D15">
        <v>-354</v>
      </c>
      <c r="E15">
        <v>230</v>
      </c>
      <c r="F15">
        <v>-150</v>
      </c>
      <c r="G15">
        <v>-158</v>
      </c>
    </row>
    <row r="16" spans="1:7" x14ac:dyDescent="0.2">
      <c r="A16" t="s">
        <v>358</v>
      </c>
      <c r="B16">
        <v>0</v>
      </c>
      <c r="C16">
        <v>0</v>
      </c>
      <c r="D16">
        <v>3070</v>
      </c>
      <c r="E16">
        <v>2691</v>
      </c>
      <c r="F16">
        <v>-1782</v>
      </c>
      <c r="G16">
        <v>156</v>
      </c>
    </row>
    <row r="17" spans="1:7" x14ac:dyDescent="0.2">
      <c r="A17" t="s">
        <v>359</v>
      </c>
      <c r="B17">
        <v>0</v>
      </c>
      <c r="C17">
        <v>0</v>
      </c>
      <c r="D17">
        <v>160</v>
      </c>
    </row>
    <row r="18" spans="1:7" x14ac:dyDescent="0.2">
      <c r="A18" t="s">
        <v>360</v>
      </c>
      <c r="B18">
        <v>0</v>
      </c>
      <c r="C18">
        <v>-239</v>
      </c>
      <c r="D18">
        <v>-476</v>
      </c>
      <c r="E18">
        <v>554</v>
      </c>
      <c r="F18">
        <v>-2</v>
      </c>
      <c r="G18">
        <v>57</v>
      </c>
    </row>
    <row r="19" spans="1:7" x14ac:dyDescent="0.2">
      <c r="A19" t="s">
        <v>361</v>
      </c>
      <c r="B19">
        <v>0</v>
      </c>
      <c r="C19">
        <v>-239</v>
      </c>
      <c r="D19">
        <v>-486</v>
      </c>
      <c r="E19">
        <v>293</v>
      </c>
      <c r="F19">
        <v>-2</v>
      </c>
      <c r="G19">
        <v>0</v>
      </c>
    </row>
    <row r="20" spans="1:7" x14ac:dyDescent="0.2">
      <c r="A20" t="s">
        <v>362</v>
      </c>
      <c r="C20">
        <v>0</v>
      </c>
      <c r="D20">
        <v>10</v>
      </c>
      <c r="E20">
        <v>261</v>
      </c>
      <c r="F20">
        <v>0</v>
      </c>
      <c r="G20">
        <v>57</v>
      </c>
    </row>
    <row r="21" spans="1:7" x14ac:dyDescent="0.2">
      <c r="A21" t="s">
        <v>363</v>
      </c>
      <c r="C21">
        <v>0</v>
      </c>
      <c r="D21">
        <v>3</v>
      </c>
      <c r="E21">
        <v>294</v>
      </c>
      <c r="F21">
        <v>96</v>
      </c>
      <c r="G21">
        <v>13</v>
      </c>
    </row>
    <row r="22" spans="1:7" x14ac:dyDescent="0.2">
      <c r="A22" t="s">
        <v>364</v>
      </c>
      <c r="B22">
        <v>0</v>
      </c>
      <c r="C22">
        <v>0</v>
      </c>
      <c r="D22">
        <v>10</v>
      </c>
    </row>
    <row r="23" spans="1:7" x14ac:dyDescent="0.2">
      <c r="A23" t="s">
        <v>365</v>
      </c>
      <c r="B23">
        <v>-220</v>
      </c>
      <c r="C23">
        <v>-220</v>
      </c>
      <c r="D23">
        <v>-134</v>
      </c>
      <c r="E23">
        <v>-377</v>
      </c>
      <c r="F23">
        <v>-94</v>
      </c>
      <c r="G23">
        <v>-34</v>
      </c>
    </row>
    <row r="24" spans="1:7" x14ac:dyDescent="0.2">
      <c r="A24" t="s">
        <v>366</v>
      </c>
      <c r="B24">
        <v>-93</v>
      </c>
    </row>
    <row r="25" spans="1:7" x14ac:dyDescent="0.2">
      <c r="A25" t="s">
        <v>163</v>
      </c>
      <c r="B25">
        <v>91</v>
      </c>
      <c r="C25">
        <v>-646</v>
      </c>
      <c r="D25">
        <v>236</v>
      </c>
      <c r="E25">
        <v>-33</v>
      </c>
      <c r="F25">
        <v>-319</v>
      </c>
      <c r="G25">
        <v>67</v>
      </c>
    </row>
    <row r="26" spans="1:7" x14ac:dyDescent="0.2">
      <c r="A26" t="s">
        <v>367</v>
      </c>
      <c r="B26">
        <v>190</v>
      </c>
      <c r="C26">
        <v>141</v>
      </c>
      <c r="D26">
        <v>188</v>
      </c>
      <c r="E26">
        <v>20</v>
      </c>
      <c r="F26">
        <v>474</v>
      </c>
      <c r="G26">
        <v>37</v>
      </c>
    </row>
    <row r="27" spans="1:7" x14ac:dyDescent="0.2">
      <c r="A27" t="s">
        <v>185</v>
      </c>
      <c r="B27">
        <v>-11</v>
      </c>
      <c r="C27">
        <v>69</v>
      </c>
      <c r="D27">
        <v>9</v>
      </c>
      <c r="E27">
        <v>6</v>
      </c>
      <c r="F27">
        <v>15</v>
      </c>
      <c r="G27">
        <v>-8</v>
      </c>
    </row>
    <row r="28" spans="1:7" x14ac:dyDescent="0.2">
      <c r="A28" t="s">
        <v>368</v>
      </c>
      <c r="B28">
        <v>-306</v>
      </c>
      <c r="C28">
        <v>189</v>
      </c>
      <c r="D28">
        <v>-552</v>
      </c>
      <c r="E28">
        <v>-410</v>
      </c>
      <c r="F28">
        <v>-212</v>
      </c>
      <c r="G28">
        <v>-644</v>
      </c>
    </row>
    <row r="29" spans="1:7" x14ac:dyDescent="0.2">
      <c r="A29" t="s">
        <v>191</v>
      </c>
      <c r="B29">
        <v>-1</v>
      </c>
    </row>
    <row r="30" spans="1:7" x14ac:dyDescent="0.2">
      <c r="A30" t="s">
        <v>369</v>
      </c>
      <c r="B30">
        <v>-90</v>
      </c>
      <c r="C30">
        <v>27</v>
      </c>
      <c r="D30">
        <v>-15</v>
      </c>
      <c r="E30">
        <v>40</v>
      </c>
      <c r="F30">
        <v>-52</v>
      </c>
      <c r="G30">
        <v>514</v>
      </c>
    </row>
    <row r="31" spans="1:7" x14ac:dyDescent="0.2">
      <c r="A31" t="s">
        <v>371</v>
      </c>
      <c r="B31">
        <v>2416</v>
      </c>
      <c r="C31">
        <v>3004</v>
      </c>
      <c r="D31">
        <v>3093</v>
      </c>
      <c r="E31">
        <v>2627</v>
      </c>
      <c r="F31">
        <v>2431</v>
      </c>
      <c r="G31">
        <v>2414</v>
      </c>
    </row>
    <row r="32" spans="1:7" x14ac:dyDescent="0.2">
      <c r="A32" t="s">
        <v>372</v>
      </c>
      <c r="B32">
        <v>698</v>
      </c>
      <c r="C32">
        <v>-585</v>
      </c>
      <c r="D32">
        <v>-436</v>
      </c>
      <c r="E32">
        <v>-373</v>
      </c>
      <c r="F32">
        <v>-5</v>
      </c>
      <c r="G32">
        <v>0</v>
      </c>
    </row>
    <row r="33" spans="1:7" x14ac:dyDescent="0.2">
      <c r="A33" t="s">
        <v>373</v>
      </c>
      <c r="B33">
        <v>2787</v>
      </c>
      <c r="C33">
        <v>3794</v>
      </c>
      <c r="D33">
        <v>3663</v>
      </c>
      <c r="E33">
        <v>2461</v>
      </c>
      <c r="F33">
        <v>240</v>
      </c>
      <c r="G33">
        <v>2213</v>
      </c>
    </row>
    <row r="34" spans="1:7" x14ac:dyDescent="0.2">
      <c r="A34" t="s">
        <v>374</v>
      </c>
      <c r="B34">
        <v>-508</v>
      </c>
      <c r="C34">
        <v>-463</v>
      </c>
      <c r="D34">
        <v>-444</v>
      </c>
      <c r="E34">
        <v>-449</v>
      </c>
      <c r="F34">
        <v>-456</v>
      </c>
      <c r="G34">
        <v>-458</v>
      </c>
    </row>
    <row r="35" spans="1:7" x14ac:dyDescent="0.2">
      <c r="A35" t="s">
        <v>375</v>
      </c>
      <c r="B35">
        <v>-46966</v>
      </c>
      <c r="C35">
        <v>-32887</v>
      </c>
      <c r="D35">
        <v>-22161</v>
      </c>
      <c r="E35">
        <v>-18534</v>
      </c>
      <c r="F35">
        <v>-13874</v>
      </c>
      <c r="G35">
        <v>-13855</v>
      </c>
    </row>
    <row r="36" spans="1:7" x14ac:dyDescent="0.2">
      <c r="A36" t="s">
        <v>376</v>
      </c>
      <c r="B36">
        <v>50548</v>
      </c>
      <c r="C36">
        <v>33129</v>
      </c>
      <c r="D36">
        <v>18770</v>
      </c>
      <c r="E36">
        <v>20626</v>
      </c>
      <c r="F36">
        <v>14502</v>
      </c>
      <c r="G36">
        <v>13342</v>
      </c>
    </row>
    <row r="37" spans="1:7" x14ac:dyDescent="0.2">
      <c r="A37" t="s">
        <v>377</v>
      </c>
      <c r="C37">
        <v>33129</v>
      </c>
      <c r="D37">
        <v>18770</v>
      </c>
      <c r="E37">
        <v>20626</v>
      </c>
      <c r="F37">
        <v>14502</v>
      </c>
      <c r="G37">
        <v>12306</v>
      </c>
    </row>
    <row r="38" spans="1:7" x14ac:dyDescent="0.2">
      <c r="A38" t="s">
        <v>378</v>
      </c>
      <c r="E38">
        <v>0</v>
      </c>
      <c r="F38">
        <v>0</v>
      </c>
      <c r="G38">
        <v>1036</v>
      </c>
    </row>
    <row r="39" spans="1:7" x14ac:dyDescent="0.2">
      <c r="A39" t="s">
        <v>379</v>
      </c>
      <c r="B39">
        <v>0</v>
      </c>
      <c r="C39">
        <v>0</v>
      </c>
      <c r="D39">
        <v>85</v>
      </c>
    </row>
    <row r="40" spans="1:7" x14ac:dyDescent="0.2">
      <c r="A40" t="s">
        <v>380</v>
      </c>
      <c r="B40">
        <v>0</v>
      </c>
      <c r="C40">
        <v>0</v>
      </c>
      <c r="D40">
        <v>-110</v>
      </c>
      <c r="E40">
        <v>0</v>
      </c>
      <c r="F40">
        <v>0</v>
      </c>
      <c r="G40">
        <v>-108</v>
      </c>
    </row>
    <row r="41" spans="1:7" x14ac:dyDescent="0.2">
      <c r="A41" t="s">
        <v>381</v>
      </c>
      <c r="B41">
        <v>-160</v>
      </c>
    </row>
    <row r="42" spans="1:7" x14ac:dyDescent="0.2">
      <c r="A42" t="s">
        <v>382</v>
      </c>
      <c r="C42">
        <v>0</v>
      </c>
      <c r="D42">
        <v>0</v>
      </c>
      <c r="E42">
        <v>-208</v>
      </c>
      <c r="F42">
        <v>0</v>
      </c>
      <c r="G42">
        <v>0</v>
      </c>
    </row>
    <row r="43" spans="1:7" x14ac:dyDescent="0.2">
      <c r="A43" t="s">
        <v>370</v>
      </c>
      <c r="B43">
        <v>-14</v>
      </c>
      <c r="C43">
        <v>42</v>
      </c>
      <c r="D43">
        <v>4</v>
      </c>
      <c r="E43">
        <v>-71</v>
      </c>
      <c r="F43">
        <v>-38</v>
      </c>
      <c r="G43">
        <v>-13</v>
      </c>
    </row>
    <row r="44" spans="1:7" x14ac:dyDescent="0.2">
      <c r="A44" t="s">
        <v>383</v>
      </c>
      <c r="B44">
        <v>0</v>
      </c>
      <c r="C44">
        <v>0</v>
      </c>
      <c r="D44">
        <v>2325</v>
      </c>
      <c r="E44">
        <v>8</v>
      </c>
      <c r="F44">
        <v>0</v>
      </c>
      <c r="G44">
        <v>2410</v>
      </c>
    </row>
    <row r="45" spans="1:7" x14ac:dyDescent="0.2">
      <c r="A45" t="s">
        <v>384</v>
      </c>
      <c r="C45">
        <v>0</v>
      </c>
      <c r="D45">
        <v>0</v>
      </c>
      <c r="E45">
        <v>800</v>
      </c>
      <c r="F45">
        <v>0</v>
      </c>
      <c r="G45">
        <v>573</v>
      </c>
    </row>
    <row r="46" spans="1:7" x14ac:dyDescent="0.2">
      <c r="A46" t="s">
        <v>385</v>
      </c>
      <c r="E46">
        <v>0</v>
      </c>
      <c r="F46">
        <v>0</v>
      </c>
      <c r="G46">
        <v>322</v>
      </c>
    </row>
    <row r="47" spans="1:7" x14ac:dyDescent="0.2">
      <c r="A47" t="s">
        <v>383</v>
      </c>
      <c r="C47">
        <v>0</v>
      </c>
      <c r="D47">
        <v>114</v>
      </c>
      <c r="E47">
        <v>287</v>
      </c>
      <c r="F47">
        <v>106</v>
      </c>
      <c r="G47">
        <v>0</v>
      </c>
    </row>
    <row r="48" spans="1:7" x14ac:dyDescent="0.2">
      <c r="A48" t="s">
        <v>386</v>
      </c>
      <c r="B48">
        <v>2900</v>
      </c>
      <c r="C48">
        <v>-179</v>
      </c>
      <c r="D48">
        <v>-1417</v>
      </c>
      <c r="E48">
        <v>2459</v>
      </c>
      <c r="F48">
        <v>240</v>
      </c>
      <c r="G48">
        <v>2213</v>
      </c>
    </row>
    <row r="49" spans="1:12" x14ac:dyDescent="0.2">
      <c r="A49" t="s">
        <v>387</v>
      </c>
      <c r="B49">
        <v>-113</v>
      </c>
      <c r="C49">
        <v>3973</v>
      </c>
      <c r="D49">
        <v>5080</v>
      </c>
      <c r="E49">
        <v>2</v>
      </c>
      <c r="F49">
        <v>0</v>
      </c>
      <c r="G49">
        <v>0</v>
      </c>
    </row>
    <row r="50" spans="1:12" x14ac:dyDescent="0.2">
      <c r="A50" t="s">
        <v>388</v>
      </c>
      <c r="B50">
        <v>-7091</v>
      </c>
      <c r="C50">
        <v>-5692</v>
      </c>
      <c r="D50">
        <v>-6532</v>
      </c>
      <c r="E50">
        <v>-3792</v>
      </c>
      <c r="F50">
        <v>-2450</v>
      </c>
      <c r="G50">
        <v>-3806</v>
      </c>
    </row>
    <row r="51" spans="1:12" x14ac:dyDescent="0.2">
      <c r="A51" t="s">
        <v>389</v>
      </c>
      <c r="B51">
        <v>106</v>
      </c>
      <c r="C51">
        <v>90</v>
      </c>
      <c r="D51">
        <v>93</v>
      </c>
      <c r="E51">
        <v>87</v>
      </c>
      <c r="F51">
        <v>83</v>
      </c>
      <c r="G51">
        <v>92</v>
      </c>
    </row>
    <row r="52" spans="1:12" x14ac:dyDescent="0.2">
      <c r="A52" t="s">
        <v>390</v>
      </c>
      <c r="B52">
        <v>-4973</v>
      </c>
      <c r="C52">
        <v>-5137</v>
      </c>
      <c r="D52">
        <v>-7055</v>
      </c>
      <c r="E52">
        <v>-3143</v>
      </c>
      <c r="F52">
        <v>-1401</v>
      </c>
      <c r="G52">
        <v>-3149</v>
      </c>
    </row>
    <row r="53" spans="1:12" x14ac:dyDescent="0.2">
      <c r="A53" t="s">
        <v>391</v>
      </c>
      <c r="B53">
        <v>-202</v>
      </c>
      <c r="C53">
        <v>-175</v>
      </c>
      <c r="D53">
        <v>-236</v>
      </c>
      <c r="E53">
        <v>-160</v>
      </c>
      <c r="F53">
        <v>-171</v>
      </c>
      <c r="G53">
        <v>-188</v>
      </c>
    </row>
    <row r="54" spans="1:12" x14ac:dyDescent="0.2">
      <c r="A54" t="s">
        <v>392</v>
      </c>
      <c r="B54">
        <v>-473</v>
      </c>
      <c r="C54">
        <v>-447</v>
      </c>
      <c r="D54">
        <v>-466</v>
      </c>
      <c r="E54">
        <v>-489</v>
      </c>
      <c r="F54">
        <v>-528</v>
      </c>
      <c r="G54">
        <v>-533</v>
      </c>
    </row>
    <row r="55" spans="1:12" s="65" customFormat="1" x14ac:dyDescent="0.2">
      <c r="A55" s="65" t="s">
        <v>393</v>
      </c>
      <c r="B55" s="65">
        <v>0</v>
      </c>
      <c r="C55" s="65">
        <v>1765</v>
      </c>
      <c r="D55" s="65">
        <v>2478</v>
      </c>
      <c r="E55" s="65">
        <v>1143</v>
      </c>
      <c r="F55" s="65">
        <v>0</v>
      </c>
      <c r="G55" s="65">
        <v>0</v>
      </c>
      <c r="H55" s="65">
        <f>$H$56*FCFE!C18</f>
        <v>1018.7435255336924</v>
      </c>
      <c r="I55" s="65">
        <f>$H$56*FCFE!D18</f>
        <v>1095.1492899487193</v>
      </c>
      <c r="J55" s="65">
        <f>$H$56*FCFE!E18</f>
        <v>1177.2854866948733</v>
      </c>
      <c r="K55" s="65">
        <f>$H$56*FCFE!F18</f>
        <v>1265.5818981969887</v>
      </c>
      <c r="L55" s="65">
        <f>$H$56*FCFE!G18</f>
        <v>1360.5005405617628</v>
      </c>
    </row>
    <row r="56" spans="1:12" s="65" customFormat="1" x14ac:dyDescent="0.2">
      <c r="B56" s="65">
        <f>B55/'EBAY Income Statement'!B5</f>
        <v>0</v>
      </c>
      <c r="C56" s="65">
        <f>C55/'EBAY Income Statement'!C5</f>
        <v>0.19844839217449967</v>
      </c>
      <c r="D56" s="65">
        <f>D55/'EBAY Income Statement'!D5</f>
        <v>0.23781190019193857</v>
      </c>
      <c r="E56" s="65">
        <f>E55/'EBAY Income Statement'!E5</f>
        <v>0.11669218989280244</v>
      </c>
      <c r="F56" s="65">
        <f>F55/'EBAY Income Statement'!F5</f>
        <v>0</v>
      </c>
      <c r="G56" s="65">
        <f>G55/'EBAY Income Statement'!G5</f>
        <v>0</v>
      </c>
      <c r="H56" s="65">
        <f>AVERAGE(B56:G56)</f>
        <v>9.2158747043206771E-2</v>
      </c>
    </row>
    <row r="57" spans="1:12" s="65" customFormat="1" x14ac:dyDescent="0.2">
      <c r="A57" s="65" t="s">
        <v>394</v>
      </c>
      <c r="B57" s="65">
        <v>-1550</v>
      </c>
      <c r="C57" s="65">
        <v>-1771</v>
      </c>
      <c r="D57" s="65">
        <v>-1156</v>
      </c>
      <c r="E57" s="65">
        <v>-1355</v>
      </c>
      <c r="F57" s="65">
        <v>-1150</v>
      </c>
      <c r="G57" s="65">
        <v>-750</v>
      </c>
      <c r="H57" s="65">
        <f>$H$58*FCFE!C18</f>
        <v>-1554.414494804786</v>
      </c>
      <c r="I57" s="65">
        <f>$H$58*FCFE!D18</f>
        <v>-1670.9955819151451</v>
      </c>
      <c r="J57" s="65">
        <f>$H$58*FCFE!E18</f>
        <v>-1796.3202505587808</v>
      </c>
      <c r="K57" s="65">
        <f>$H$58*FCFE!F18</f>
        <v>-1931.0442693506893</v>
      </c>
      <c r="L57" s="65">
        <f>$H$58*FCFE!G18</f>
        <v>-2075.8725895519906</v>
      </c>
    </row>
    <row r="58" spans="1:12" s="65" customFormat="1" x14ac:dyDescent="0.2">
      <c r="B58" s="66">
        <f>B57/'EBAY Income Statement'!B5</f>
        <v>-0.20864180912639654</v>
      </c>
      <c r="C58" s="66">
        <f>C57/'EBAY Income Statement'!C5</f>
        <v>-0.19912300427254329</v>
      </c>
      <c r="D58" s="66">
        <f>D57/'EBAY Income Statement'!D5</f>
        <v>-0.1109404990403071</v>
      </c>
      <c r="E58" s="66">
        <f>E57/'EBAY Income Statement'!E5</f>
        <v>-0.1383358856559469</v>
      </c>
      <c r="F58" s="66">
        <f>F57/'EBAY Income Statement'!F5</f>
        <v>-0.11372626582278481</v>
      </c>
      <c r="G58" s="66">
        <f>G57/'EBAY Income Statement'!G5</f>
        <v>-7.2935913643878247E-2</v>
      </c>
      <c r="H58" s="66">
        <f>AVERAGE(B58:G58)</f>
        <v>-0.14061722959364278</v>
      </c>
    </row>
    <row r="59" spans="1:12" x14ac:dyDescent="0.2">
      <c r="A59" t="s">
        <v>395</v>
      </c>
      <c r="E59">
        <v>0</v>
      </c>
      <c r="F59">
        <v>0</v>
      </c>
      <c r="G59">
        <v>441</v>
      </c>
    </row>
    <row r="60" spans="1:12" x14ac:dyDescent="0.2">
      <c r="A60" t="s">
        <v>396</v>
      </c>
      <c r="B60">
        <v>0</v>
      </c>
      <c r="C60">
        <v>0</v>
      </c>
      <c r="D60">
        <v>-208</v>
      </c>
      <c r="E60">
        <v>125</v>
      </c>
      <c r="F60">
        <v>717</v>
      </c>
      <c r="G60">
        <v>305</v>
      </c>
    </row>
    <row r="61" spans="1:12" x14ac:dyDescent="0.2">
      <c r="A61" t="s">
        <v>370</v>
      </c>
      <c r="B61">
        <v>5</v>
      </c>
      <c r="C61">
        <v>-5</v>
      </c>
      <c r="D61">
        <v>-7</v>
      </c>
      <c r="E61">
        <v>0</v>
      </c>
      <c r="F61">
        <v>0</v>
      </c>
      <c r="G61">
        <v>-24</v>
      </c>
    </row>
    <row r="62" spans="1:12" x14ac:dyDescent="0.2">
      <c r="A62" t="s">
        <v>397</v>
      </c>
      <c r="B62">
        <v>-7087</v>
      </c>
      <c r="C62">
        <v>-5680</v>
      </c>
      <c r="D62">
        <v>-6557</v>
      </c>
      <c r="E62">
        <v>-3792</v>
      </c>
      <c r="F62">
        <v>-2450</v>
      </c>
      <c r="G62">
        <v>-3806</v>
      </c>
    </row>
    <row r="63" spans="1:12" x14ac:dyDescent="0.2">
      <c r="A63" t="s">
        <v>398</v>
      </c>
      <c r="B63">
        <v>-4</v>
      </c>
      <c r="C63">
        <v>-12</v>
      </c>
      <c r="D63">
        <v>25</v>
      </c>
    </row>
    <row r="64" spans="1:12" x14ac:dyDescent="0.2">
      <c r="A64" t="s">
        <v>399</v>
      </c>
      <c r="B64">
        <v>-33</v>
      </c>
      <c r="C64">
        <v>77</v>
      </c>
      <c r="D64">
        <v>24</v>
      </c>
      <c r="E64">
        <v>-57</v>
      </c>
      <c r="F64">
        <v>5</v>
      </c>
      <c r="G64">
        <v>-28</v>
      </c>
    </row>
    <row r="65" spans="1:7" x14ac:dyDescent="0.2">
      <c r="A65" t="s">
        <v>400</v>
      </c>
      <c r="B65">
        <v>-1223</v>
      </c>
      <c r="C65">
        <v>598</v>
      </c>
      <c r="D65">
        <v>-188</v>
      </c>
      <c r="E65">
        <v>866</v>
      </c>
      <c r="F65">
        <v>221</v>
      </c>
      <c r="G65">
        <v>793</v>
      </c>
    </row>
    <row r="66" spans="1:7" x14ac:dyDescent="0.2">
      <c r="A66" t="s">
        <v>401</v>
      </c>
      <c r="B66">
        <v>-1223</v>
      </c>
      <c r="C66">
        <v>598</v>
      </c>
      <c r="D66">
        <v>-188</v>
      </c>
      <c r="E66">
        <v>866</v>
      </c>
      <c r="F66">
        <v>221</v>
      </c>
      <c r="G66">
        <v>793</v>
      </c>
    </row>
    <row r="67" spans="1:7" x14ac:dyDescent="0.2">
      <c r="A67" t="s">
        <v>402</v>
      </c>
      <c r="B67">
        <v>2219</v>
      </c>
      <c r="C67">
        <v>996</v>
      </c>
      <c r="D67">
        <v>1594</v>
      </c>
      <c r="E67">
        <v>1406</v>
      </c>
      <c r="F67">
        <v>2272</v>
      </c>
      <c r="G67">
        <v>2493</v>
      </c>
    </row>
    <row r="68" spans="1:7" x14ac:dyDescent="0.2">
      <c r="A68" t="s">
        <v>403</v>
      </c>
      <c r="B68">
        <v>996</v>
      </c>
      <c r="C68">
        <v>1594</v>
      </c>
      <c r="D68">
        <v>1406</v>
      </c>
      <c r="E68">
        <v>2272</v>
      </c>
      <c r="F68">
        <v>2493</v>
      </c>
      <c r="G68">
        <v>3286</v>
      </c>
    </row>
    <row r="69" spans="1:7" x14ac:dyDescent="0.2">
      <c r="A69" t="s">
        <v>404</v>
      </c>
      <c r="B69">
        <v>-304</v>
      </c>
      <c r="C69">
        <v>271</v>
      </c>
      <c r="D69">
        <v>-253</v>
      </c>
      <c r="E69">
        <v>-244</v>
      </c>
      <c r="F69">
        <v>-275</v>
      </c>
      <c r="G69">
        <v>-264</v>
      </c>
    </row>
    <row r="70" spans="1:7" x14ac:dyDescent="0.2">
      <c r="A70" t="s">
        <v>405</v>
      </c>
      <c r="B70">
        <v>-249</v>
      </c>
      <c r="C70">
        <v>493</v>
      </c>
      <c r="D70">
        <v>-929</v>
      </c>
      <c r="E70">
        <v>-540</v>
      </c>
      <c r="F70">
        <v>-746</v>
      </c>
      <c r="G70">
        <v>-722</v>
      </c>
    </row>
    <row r="71" spans="1:7" x14ac:dyDescent="0.2">
      <c r="A71" t="s">
        <v>406</v>
      </c>
    </row>
    <row r="72" spans="1:7" x14ac:dyDescent="0.2">
      <c r="A72" t="s">
        <v>407</v>
      </c>
    </row>
    <row r="73" spans="1:7" x14ac:dyDescent="0.2">
      <c r="A73" t="s">
        <v>408</v>
      </c>
    </row>
    <row r="74" spans="1:7" x14ac:dyDescent="0.2">
      <c r="A74" t="s">
        <v>409</v>
      </c>
    </row>
    <row r="75" spans="1:7" x14ac:dyDescent="0.2">
      <c r="A75" t="s">
        <v>410</v>
      </c>
    </row>
    <row r="76" spans="1:7" x14ac:dyDescent="0.2">
      <c r="A76" t="s">
        <v>411</v>
      </c>
    </row>
    <row r="77" spans="1:7" x14ac:dyDescent="0.2">
      <c r="A77" t="s">
        <v>159</v>
      </c>
      <c r="B77">
        <v>0</v>
      </c>
      <c r="C77">
        <v>0</v>
      </c>
      <c r="D77">
        <v>10776</v>
      </c>
    </row>
    <row r="78" spans="1:7" x14ac:dyDescent="0.2">
      <c r="A78" t="s">
        <v>412</v>
      </c>
      <c r="B78">
        <v>0</v>
      </c>
      <c r="C78">
        <v>0</v>
      </c>
      <c r="D78">
        <v>728</v>
      </c>
    </row>
    <row r="79" spans="1:7" x14ac:dyDescent="0.2">
      <c r="A79" t="s">
        <v>413</v>
      </c>
      <c r="B79">
        <v>322</v>
      </c>
      <c r="C79">
        <v>882</v>
      </c>
      <c r="D79">
        <v>1406</v>
      </c>
      <c r="E79">
        <v>2272</v>
      </c>
      <c r="F79">
        <v>2493</v>
      </c>
      <c r="G79">
        <v>3286</v>
      </c>
    </row>
    <row r="80" spans="1:7" x14ac:dyDescent="0.2">
      <c r="A80" t="s">
        <v>414</v>
      </c>
      <c r="B80">
        <v>659</v>
      </c>
      <c r="C80">
        <v>1238</v>
      </c>
    </row>
    <row r="81" spans="1:7" x14ac:dyDescent="0.2">
      <c r="A81" t="s">
        <v>415</v>
      </c>
      <c r="B81">
        <v>-337</v>
      </c>
      <c r="C81">
        <v>-356</v>
      </c>
      <c r="D81">
        <v>1406</v>
      </c>
      <c r="E81">
        <v>2272</v>
      </c>
      <c r="F81">
        <v>2493</v>
      </c>
      <c r="G81">
        <v>3286</v>
      </c>
    </row>
    <row r="82" spans="1:7" x14ac:dyDescent="0.2">
      <c r="A82" t="s">
        <v>416</v>
      </c>
    </row>
    <row r="83" spans="1:7" x14ac:dyDescent="0.2">
      <c r="A83" t="s">
        <v>417</v>
      </c>
    </row>
    <row r="84" spans="1:7" x14ac:dyDescent="0.2">
      <c r="A84" t="s">
        <v>157</v>
      </c>
      <c r="D84">
        <v>1379</v>
      </c>
      <c r="E84">
        <v>2154</v>
      </c>
      <c r="F84">
        <v>1985</v>
      </c>
      <c r="G84">
        <v>2433</v>
      </c>
    </row>
    <row r="85" spans="1:7" x14ac:dyDescent="0.2">
      <c r="A85" t="s">
        <v>418</v>
      </c>
      <c r="D85">
        <v>5</v>
      </c>
      <c r="E85">
        <v>69</v>
      </c>
      <c r="F85">
        <v>481</v>
      </c>
      <c r="G85">
        <v>763</v>
      </c>
    </row>
    <row r="86" spans="1:7" x14ac:dyDescent="0.2">
      <c r="A86" t="s">
        <v>419</v>
      </c>
      <c r="D86">
        <v>22</v>
      </c>
      <c r="E86">
        <v>36</v>
      </c>
      <c r="F86">
        <v>23</v>
      </c>
      <c r="G86">
        <v>88</v>
      </c>
    </row>
    <row r="87" spans="1:7" x14ac:dyDescent="0.2">
      <c r="A87" t="s">
        <v>420</v>
      </c>
      <c r="D87">
        <v>0</v>
      </c>
      <c r="E87">
        <v>13</v>
      </c>
      <c r="F87">
        <v>4</v>
      </c>
      <c r="G87">
        <v>2</v>
      </c>
    </row>
    <row r="88" spans="1:7" x14ac:dyDescent="0.2">
      <c r="A88" t="s">
        <v>421</v>
      </c>
    </row>
    <row r="89" spans="1:7" x14ac:dyDescent="0.2">
      <c r="A89" t="s">
        <v>422</v>
      </c>
    </row>
    <row r="90" spans="1:7" x14ac:dyDescent="0.2">
      <c r="A90" t="s">
        <v>423</v>
      </c>
    </row>
    <row r="91" spans="1:7" x14ac:dyDescent="0.2">
      <c r="A91" t="s">
        <v>211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A7FC-9297-5B4E-A367-CE0600158248}">
  <dimension ref="A1:K110"/>
  <sheetViews>
    <sheetView workbookViewId="0">
      <selection activeCell="K23" sqref="K23"/>
    </sheetView>
  </sheetViews>
  <sheetFormatPr baseColWidth="10" defaultColWidth="11.5" defaultRowHeight="15" x14ac:dyDescent="0.2"/>
  <cols>
    <col min="1" max="1" width="17.5" customWidth="1"/>
    <col min="2" max="5" width="12.6640625" bestFit="1" customWidth="1"/>
    <col min="6" max="6" width="11.6640625" bestFit="1" customWidth="1"/>
    <col min="7" max="8" width="12.6640625" bestFit="1" customWidth="1"/>
    <col min="9" max="9" width="11.6640625" bestFit="1" customWidth="1"/>
    <col min="10" max="11" width="12.6640625" bestFit="1" customWidth="1"/>
  </cols>
  <sheetData>
    <row r="1" spans="1:11" x14ac:dyDescent="0.2">
      <c r="A1" t="s">
        <v>105</v>
      </c>
    </row>
    <row r="2" spans="1:11" x14ac:dyDescent="0.2">
      <c r="A2" t="s">
        <v>106</v>
      </c>
    </row>
    <row r="3" spans="1:11" x14ac:dyDescent="0.2"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</row>
    <row r="4" spans="1:11" x14ac:dyDescent="0.2">
      <c r="F4" t="s">
        <v>224</v>
      </c>
      <c r="G4" t="s">
        <v>224</v>
      </c>
      <c r="I4" t="s">
        <v>224</v>
      </c>
    </row>
    <row r="5" spans="1:11" x14ac:dyDescent="0.2">
      <c r="A5" t="s">
        <v>225</v>
      </c>
    </row>
    <row r="6" spans="1:11" x14ac:dyDescent="0.2">
      <c r="A6" t="s">
        <v>226</v>
      </c>
      <c r="B6" s="62">
        <v>72.042179000000004</v>
      </c>
      <c r="C6" s="62">
        <v>71.728320999999994</v>
      </c>
      <c r="D6" s="62">
        <v>72.294148000000007</v>
      </c>
      <c r="E6" s="62">
        <v>74.601811999999995</v>
      </c>
      <c r="F6" s="62">
        <v>79.457145999999995</v>
      </c>
      <c r="G6" s="62">
        <v>74.704851000000005</v>
      </c>
      <c r="H6" s="62">
        <v>77.394458</v>
      </c>
      <c r="I6" s="62">
        <v>77.277749999999997</v>
      </c>
      <c r="J6" s="62">
        <v>77.224635000000006</v>
      </c>
      <c r="K6" s="62">
        <v>78.631285000000005</v>
      </c>
    </row>
    <row r="7" spans="1:11" x14ac:dyDescent="0.2">
      <c r="A7" t="s">
        <v>227</v>
      </c>
      <c r="B7" s="62">
        <v>49.540486000000001</v>
      </c>
      <c r="C7" s="62">
        <v>51.471758000000001</v>
      </c>
      <c r="D7" s="62">
        <v>49.311238000000003</v>
      </c>
      <c r="E7" s="62">
        <v>45.808298000000001</v>
      </c>
      <c r="F7" s="62">
        <v>49.938056000000003</v>
      </c>
      <c r="G7" s="62">
        <v>52.998246999999999</v>
      </c>
      <c r="H7" s="62">
        <v>56.657988000000003</v>
      </c>
      <c r="I7" s="62">
        <v>54.364640999999999</v>
      </c>
      <c r="J7" s="62">
        <v>51.408842999999997</v>
      </c>
      <c r="K7" s="62">
        <v>53.992086</v>
      </c>
    </row>
    <row r="8" spans="1:11" x14ac:dyDescent="0.2">
      <c r="A8" t="s">
        <v>228</v>
      </c>
      <c r="B8" s="62">
        <v>22.501693</v>
      </c>
      <c r="C8" s="62">
        <v>20.256563</v>
      </c>
      <c r="D8" s="62">
        <v>22.98291</v>
      </c>
      <c r="E8" s="62">
        <v>28.793514999999999</v>
      </c>
      <c r="F8" s="62">
        <v>29.519089999999998</v>
      </c>
      <c r="G8" s="62">
        <v>21.706603999999999</v>
      </c>
      <c r="H8" s="62">
        <v>20.736470000000001</v>
      </c>
      <c r="I8" s="62">
        <v>22.913108999999999</v>
      </c>
      <c r="J8" s="62">
        <v>25.815791999999998</v>
      </c>
      <c r="K8" s="62">
        <v>24.639199000000001</v>
      </c>
    </row>
    <row r="9" spans="1:11" x14ac:dyDescent="0.2">
      <c r="A9" t="s">
        <v>229</v>
      </c>
      <c r="B9" s="62">
        <v>22.037341999999999</v>
      </c>
      <c r="C9" s="62">
        <v>36.863563999999997</v>
      </c>
      <c r="D9" s="62">
        <v>-16.582082</v>
      </c>
      <c r="E9" s="62">
        <v>3.7958989999999999</v>
      </c>
      <c r="F9" s="62">
        <v>37.673161</v>
      </c>
      <c r="G9" s="62">
        <v>20.444185000000001</v>
      </c>
      <c r="H9" s="62">
        <v>25.274317</v>
      </c>
      <c r="I9" s="62">
        <v>22.852837999999998</v>
      </c>
      <c r="J9" s="62">
        <v>40.661543999999999</v>
      </c>
      <c r="K9" s="62">
        <v>28.002793</v>
      </c>
    </row>
    <row r="10" spans="1:11" x14ac:dyDescent="0.2">
      <c r="A10" t="s">
        <v>230</v>
      </c>
      <c r="B10" s="62">
        <v>19.164168</v>
      </c>
      <c r="C10" s="62">
        <v>27.595465000000001</v>
      </c>
      <c r="D10" s="62">
        <v>-13.195236</v>
      </c>
      <c r="E10" s="62">
        <v>2.4034330000000002</v>
      </c>
      <c r="F10" s="62">
        <v>28.009910999999999</v>
      </c>
      <c r="G10" s="62">
        <v>17.720631000000001</v>
      </c>
      <c r="H10" s="62">
        <v>23.507532000000001</v>
      </c>
      <c r="I10" s="62">
        <v>-10.175791</v>
      </c>
      <c r="J10" s="62">
        <v>81.133757000000003</v>
      </c>
      <c r="K10" s="62">
        <v>22.660615</v>
      </c>
    </row>
    <row r="11" spans="1:11" x14ac:dyDescent="0.2">
      <c r="A11" t="s">
        <v>231</v>
      </c>
      <c r="B11" s="62">
        <v>18.922318000000001</v>
      </c>
      <c r="C11" s="62">
        <v>19.590294</v>
      </c>
      <c r="D11" s="62">
        <v>18.694977000000002</v>
      </c>
      <c r="E11" s="62">
        <v>21.106342000000001</v>
      </c>
      <c r="F11" s="62">
        <v>22.029508</v>
      </c>
      <c r="G11" s="62">
        <v>30.286382</v>
      </c>
      <c r="H11" s="62">
        <v>18.662822999999999</v>
      </c>
      <c r="I11" s="62">
        <v>24.912103999999999</v>
      </c>
      <c r="J11" s="62">
        <v>24.501615000000001</v>
      </c>
      <c r="K11" s="62">
        <v>39.164338999999998</v>
      </c>
    </row>
    <row r="12" spans="1:11" x14ac:dyDescent="0.2">
      <c r="A12" t="s">
        <v>232</v>
      </c>
      <c r="B12" s="62">
        <v>71.832408000000001</v>
      </c>
      <c r="C12" s="62">
        <v>51.963963999999997</v>
      </c>
      <c r="D12" s="62">
        <v>-103.29670299999999</v>
      </c>
      <c r="E12" s="62">
        <v>693.25396799999999</v>
      </c>
      <c r="F12" s="62">
        <v>60.675513000000002</v>
      </c>
      <c r="G12" s="62">
        <v>139.70976300000001</v>
      </c>
      <c r="H12" s="62">
        <v>79.390822999999997</v>
      </c>
      <c r="I12" s="62">
        <v>-244.817374</v>
      </c>
      <c r="J12" s="62">
        <v>30.199038999999999</v>
      </c>
      <c r="K12" s="62">
        <v>172.829995</v>
      </c>
    </row>
    <row r="13" spans="1:11" x14ac:dyDescent="0.2">
      <c r="A13" t="s">
        <v>233</v>
      </c>
      <c r="B13" s="62">
        <v>4.4306859999999997</v>
      </c>
      <c r="C13" s="62">
        <v>4.5346060000000001</v>
      </c>
      <c r="D13" s="62">
        <v>4.6504399999999997</v>
      </c>
      <c r="E13" s="62">
        <v>4.2346209999999997</v>
      </c>
      <c r="F13" s="62">
        <v>5.2145510000000002</v>
      </c>
      <c r="G13" s="62">
        <v>6.1133839999999999</v>
      </c>
      <c r="H13" s="62">
        <v>6.0535610000000002</v>
      </c>
      <c r="I13" s="62">
        <v>6.690105</v>
      </c>
      <c r="J13" s="62">
        <v>6.9718229999999997</v>
      </c>
      <c r="K13" s="62">
        <v>7.7746740000000001</v>
      </c>
    </row>
    <row r="14" spans="1:11" x14ac:dyDescent="0.2">
      <c r="A14" t="s">
        <v>234</v>
      </c>
      <c r="B14" s="62">
        <v>9.6669509999999992</v>
      </c>
      <c r="C14" s="62">
        <v>13.068047999999999</v>
      </c>
      <c r="D14" s="62">
        <v>-5.3669219999999997</v>
      </c>
      <c r="E14" s="62">
        <v>1.0971789999999999</v>
      </c>
      <c r="F14" s="62">
        <v>13.269662</v>
      </c>
      <c r="G14" s="62">
        <v>7.3963850000000004</v>
      </c>
      <c r="H14" s="62">
        <v>10.359594</v>
      </c>
      <c r="I14" s="62">
        <v>-4.0655789999999996</v>
      </c>
      <c r="J14" s="62">
        <v>34.997118</v>
      </c>
      <c r="K14" s="62">
        <v>6.1891059999999998</v>
      </c>
    </row>
    <row r="15" spans="1:11" x14ac:dyDescent="0.2">
      <c r="A15" t="s">
        <v>235</v>
      </c>
      <c r="B15" s="62">
        <v>34.291155000000003</v>
      </c>
      <c r="C15" s="62">
        <v>48.056108999999999</v>
      </c>
      <c r="D15" s="62">
        <v>-17.065166000000001</v>
      </c>
      <c r="E15" s="62">
        <v>3.778394</v>
      </c>
      <c r="F15" s="62">
        <v>77.344114000000005</v>
      </c>
      <c r="G15" s="62">
        <v>33.132990999999997</v>
      </c>
      <c r="H15" s="62">
        <v>35.282623999999998</v>
      </c>
      <c r="I15" s="62">
        <v>-10.899505</v>
      </c>
      <c r="J15" s="62">
        <v>85.130003000000002</v>
      </c>
      <c r="K15" s="62">
        <v>14.704326999999999</v>
      </c>
    </row>
    <row r="16" spans="1:11" x14ac:dyDescent="0.2">
      <c r="A16" t="s">
        <v>236</v>
      </c>
      <c r="B16" s="62">
        <v>34.291155000000003</v>
      </c>
      <c r="C16" s="62">
        <v>48.056108999999999</v>
      </c>
      <c r="D16" s="62">
        <v>-17.065166000000001</v>
      </c>
      <c r="E16" s="62">
        <v>3.778394</v>
      </c>
      <c r="F16" s="62">
        <v>77.344114000000005</v>
      </c>
      <c r="G16" s="62">
        <v>33.132990999999997</v>
      </c>
      <c r="H16" s="62">
        <v>35.282623999999998</v>
      </c>
      <c r="I16" s="62">
        <v>-10.899505</v>
      </c>
      <c r="J16" s="62">
        <v>85.130003000000002</v>
      </c>
      <c r="K16" s="62">
        <v>14.704326999999999</v>
      </c>
    </row>
    <row r="17" spans="1:11" x14ac:dyDescent="0.2">
      <c r="A17" t="s">
        <v>237</v>
      </c>
      <c r="B17" s="62">
        <v>16.827635999999998</v>
      </c>
      <c r="C17" s="62">
        <v>13.953488</v>
      </c>
      <c r="D17" s="62">
        <v>13.136785</v>
      </c>
      <c r="E17" s="62">
        <v>19.486219999999999</v>
      </c>
      <c r="F17" s="62">
        <v>22.773482000000001</v>
      </c>
      <c r="G17" s="62">
        <v>13.882035999999999</v>
      </c>
      <c r="H17" s="62">
        <v>13.283298</v>
      </c>
      <c r="I17" s="62">
        <v>12.14493</v>
      </c>
      <c r="J17" s="62">
        <v>14.110915</v>
      </c>
      <c r="K17" s="62">
        <v>10.355116000000001</v>
      </c>
    </row>
    <row r="18" spans="1:11" x14ac:dyDescent="0.2">
      <c r="A18" t="s">
        <v>238</v>
      </c>
      <c r="B18" s="62">
        <v>15.85688</v>
      </c>
      <c r="C18" s="62">
        <v>20.519076999999999</v>
      </c>
      <c r="D18" s="62">
        <v>-8.2201500000000003</v>
      </c>
      <c r="E18" s="62">
        <v>1.7188460000000001</v>
      </c>
      <c r="F18" s="62">
        <v>22.936457000000001</v>
      </c>
      <c r="G18" s="62">
        <v>12.614936999999999</v>
      </c>
      <c r="H18" s="62">
        <v>16.179718000000001</v>
      </c>
      <c r="I18" s="62">
        <v>-5.7343409999999997</v>
      </c>
      <c r="J18" s="62">
        <v>46.396841000000002</v>
      </c>
      <c r="K18" s="62">
        <v>9.7257610000000003</v>
      </c>
    </row>
    <row r="19" spans="1:11" x14ac:dyDescent="0.2">
      <c r="A19" t="s">
        <v>239</v>
      </c>
      <c r="B19" s="62">
        <v>19.322821000000001</v>
      </c>
      <c r="C19" s="62">
        <v>17.938479999999998</v>
      </c>
      <c r="D19" s="62">
        <v>14.543343</v>
      </c>
      <c r="E19" s="62">
        <v>18.122910999999998</v>
      </c>
      <c r="F19" s="62">
        <v>22.309324</v>
      </c>
      <c r="G19" s="62">
        <v>25.912210999999999</v>
      </c>
      <c r="H19" s="62">
        <v>17.011744</v>
      </c>
      <c r="I19" s="62">
        <v>17.808723000000001</v>
      </c>
      <c r="J19" s="62">
        <v>17.998280000000001</v>
      </c>
      <c r="K19" s="62">
        <v>20.145861</v>
      </c>
    </row>
    <row r="20" spans="1:11" x14ac:dyDescent="0.2">
      <c r="A20" t="s">
        <v>240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</row>
    <row r="21" spans="1:11" x14ac:dyDescent="0.2">
      <c r="A21" t="s">
        <v>241</v>
      </c>
      <c r="B21" s="62">
        <v>3.00251</v>
      </c>
      <c r="C21" s="62">
        <v>2.3119990000000001</v>
      </c>
      <c r="D21" s="62">
        <v>2.3967130000000001</v>
      </c>
      <c r="E21" s="62">
        <v>4.1352409999999997</v>
      </c>
      <c r="F21" s="62">
        <v>4.0634639999999997</v>
      </c>
      <c r="G21" s="62">
        <v>3.6131099999999998</v>
      </c>
      <c r="H21" s="62">
        <v>2.5867</v>
      </c>
      <c r="I21" s="62">
        <v>4.0336879999999997</v>
      </c>
      <c r="J21" s="62">
        <v>3.7827549999999999</v>
      </c>
      <c r="K21" s="62">
        <v>3.9019550000000001</v>
      </c>
    </row>
    <row r="22" spans="1:11" x14ac:dyDescent="0.2">
      <c r="A22" t="s">
        <v>242</v>
      </c>
      <c r="B22" s="62">
        <v>15.714974</v>
      </c>
      <c r="C22" s="62">
        <v>8.4023579999999995</v>
      </c>
      <c r="D22" s="62"/>
      <c r="E22" s="62"/>
      <c r="F22" s="62">
        <v>20.055077000000001</v>
      </c>
      <c r="G22" s="62">
        <v>17.307324000000001</v>
      </c>
      <c r="H22" s="62">
        <v>11.007842999999999</v>
      </c>
      <c r="I22" s="62"/>
      <c r="J22" s="62">
        <v>4.6755909999999998</v>
      </c>
      <c r="K22" s="62">
        <v>19.435604000000001</v>
      </c>
    </row>
    <row r="23" spans="1:11" x14ac:dyDescent="0.2">
      <c r="A23" t="s">
        <v>243</v>
      </c>
      <c r="B23" s="62">
        <v>5.65693</v>
      </c>
      <c r="C23" s="62">
        <v>3.5258829999999999</v>
      </c>
      <c r="D23" s="62">
        <v>4.3377299999999996</v>
      </c>
      <c r="E23" s="62">
        <v>4.0397829999999999</v>
      </c>
      <c r="F23" s="62">
        <v>9.6520650000000003</v>
      </c>
      <c r="G23" s="62">
        <v>10.015171</v>
      </c>
      <c r="H23" s="62">
        <v>4.0891659999999996</v>
      </c>
      <c r="I23" s="62">
        <v>4.8247540000000004</v>
      </c>
      <c r="J23" s="62">
        <v>3.062249</v>
      </c>
      <c r="K23" s="62">
        <v>4.9477409999999997</v>
      </c>
    </row>
    <row r="24" spans="1:11" x14ac:dyDescent="0.2">
      <c r="A24" t="s">
        <v>244</v>
      </c>
      <c r="B24" s="62">
        <v>37.894091000000003</v>
      </c>
      <c r="C24" s="62">
        <v>11.191831000000001</v>
      </c>
      <c r="D24" s="62">
        <v>28.804549000000002</v>
      </c>
      <c r="E24" s="62">
        <v>7.063841</v>
      </c>
      <c r="F24" s="62">
        <v>-46.699728</v>
      </c>
      <c r="G24" s="62">
        <v>-16.888107999999999</v>
      </c>
      <c r="H24" s="62">
        <v>24.960204000000001</v>
      </c>
      <c r="I24" s="62">
        <v>12.10928</v>
      </c>
      <c r="J24" s="62">
        <v>5.4368309999999997</v>
      </c>
      <c r="K24" s="62">
        <v>15.988364000000001</v>
      </c>
    </row>
    <row r="25" spans="1:11" x14ac:dyDescent="0.2">
      <c r="A25" t="s">
        <v>245</v>
      </c>
      <c r="B25" s="62">
        <v>12.857063</v>
      </c>
      <c r="C25" s="62">
        <v>9.5834539999999997</v>
      </c>
      <c r="D25" s="62">
        <v>10.266309</v>
      </c>
      <c r="E25" s="62">
        <v>16.318404000000001</v>
      </c>
      <c r="F25" s="62">
        <v>14.915048000000001</v>
      </c>
      <c r="G25" s="62">
        <v>9.9261909999999993</v>
      </c>
      <c r="H25" s="62">
        <v>10.465527</v>
      </c>
      <c r="I25" s="62">
        <v>12.763942</v>
      </c>
      <c r="J25" s="62">
        <v>12.018882</v>
      </c>
      <c r="K25" s="62">
        <v>8.3128189999999993</v>
      </c>
    </row>
    <row r="26" spans="1:11" x14ac:dyDescent="0.2">
      <c r="A26" t="s">
        <v>246</v>
      </c>
      <c r="B26" s="62">
        <v>15.867561</v>
      </c>
      <c r="C26" s="62">
        <v>11.801755999999999</v>
      </c>
      <c r="D26" s="62">
        <v>12.820088999999999</v>
      </c>
      <c r="E26" s="62">
        <v>19.592407999999999</v>
      </c>
      <c r="F26" s="62">
        <v>18.445551999999999</v>
      </c>
      <c r="G26" s="62">
        <v>11.929819</v>
      </c>
      <c r="H26" s="62">
        <v>13.860174000000001</v>
      </c>
      <c r="I26" s="62">
        <v>16.191676999999999</v>
      </c>
      <c r="J26" s="62">
        <v>15.438800000000001</v>
      </c>
      <c r="K26" s="62">
        <v>9.9630310000000009</v>
      </c>
    </row>
    <row r="27" spans="1:11" x14ac:dyDescent="0.2">
      <c r="A27" t="s">
        <v>247</v>
      </c>
      <c r="B27" s="62">
        <v>1.743341</v>
      </c>
      <c r="C27" s="62">
        <v>2.2925260000000001</v>
      </c>
      <c r="D27" s="62">
        <v>2.1220159999999999</v>
      </c>
      <c r="E27" s="62">
        <v>1.0827070000000001</v>
      </c>
      <c r="F27" s="62">
        <v>1.2736320000000001</v>
      </c>
      <c r="G27" s="62">
        <v>1.5508169999999999</v>
      </c>
      <c r="H27" s="62">
        <v>0</v>
      </c>
      <c r="I27" s="62">
        <v>0</v>
      </c>
      <c r="J27" s="62">
        <v>0</v>
      </c>
      <c r="K27" s="62">
        <v>0</v>
      </c>
    </row>
    <row r="28" spans="1:11" x14ac:dyDescent="0.2">
      <c r="A28" t="s">
        <v>248</v>
      </c>
      <c r="B28" s="62">
        <v>13.252558000000001</v>
      </c>
      <c r="C28" s="62">
        <v>10.684604999999999</v>
      </c>
      <c r="D28" s="62">
        <v>10.935255</v>
      </c>
      <c r="E28" s="62">
        <v>13.78271</v>
      </c>
      <c r="F28" s="62">
        <v>14.826402</v>
      </c>
      <c r="G28" s="62">
        <v>18.492495000000002</v>
      </c>
      <c r="H28" s="62">
        <v>13.452937</v>
      </c>
      <c r="I28" s="62">
        <v>18.845445000000002</v>
      </c>
      <c r="J28" s="62">
        <v>14.704067999999999</v>
      </c>
      <c r="K28" s="62">
        <v>15.675163</v>
      </c>
    </row>
    <row r="29" spans="1:11" x14ac:dyDescent="0.2">
      <c r="A29" t="s">
        <v>249</v>
      </c>
      <c r="B29" s="62">
        <v>11.632246</v>
      </c>
      <c r="C29" s="62">
        <v>8.9198930000000001</v>
      </c>
      <c r="D29" s="62">
        <v>9.088139</v>
      </c>
      <c r="E29" s="62">
        <v>11.844576999999999</v>
      </c>
      <c r="F29" s="62">
        <v>12.109691</v>
      </c>
      <c r="G29" s="62">
        <v>13.813580999999999</v>
      </c>
      <c r="H29" s="62">
        <v>10.277509</v>
      </c>
      <c r="I29" s="62">
        <v>14.537186</v>
      </c>
      <c r="J29" s="62">
        <v>11.441433</v>
      </c>
      <c r="K29" s="62">
        <v>11.864255</v>
      </c>
    </row>
    <row r="30" spans="1:11" x14ac:dyDescent="0.2">
      <c r="A30" t="s">
        <v>250</v>
      </c>
      <c r="B30" s="62">
        <v>2.9820500000000001</v>
      </c>
      <c r="C30" s="62">
        <v>2.1643340000000002</v>
      </c>
      <c r="D30" s="62">
        <v>2.5132400000000001</v>
      </c>
      <c r="E30" s="62">
        <v>3.9685260000000002</v>
      </c>
      <c r="F30" s="62">
        <v>4.3766189999999998</v>
      </c>
      <c r="G30" s="62">
        <v>4.0140929999999999</v>
      </c>
      <c r="H30" s="62">
        <v>2.7896640000000001</v>
      </c>
      <c r="I30" s="62">
        <v>4.3180769999999997</v>
      </c>
      <c r="J30" s="62">
        <v>3.7959719999999999</v>
      </c>
      <c r="K30" s="62">
        <v>3.8622350000000001</v>
      </c>
    </row>
    <row r="31" spans="1:11" x14ac:dyDescent="0.2">
      <c r="A31" t="s">
        <v>251</v>
      </c>
      <c r="B31" s="62">
        <v>0.255081</v>
      </c>
      <c r="C31" s="62">
        <v>0.37804599999999999</v>
      </c>
      <c r="D31" s="62">
        <v>0.388208</v>
      </c>
      <c r="E31" s="62">
        <v>0.22667599999999999</v>
      </c>
      <c r="F31" s="62">
        <v>0.2114</v>
      </c>
      <c r="G31" s="62">
        <v>0.24379300000000001</v>
      </c>
      <c r="H31" s="62">
        <v>0.307699</v>
      </c>
      <c r="I31" s="62">
        <v>0.23297999999999999</v>
      </c>
      <c r="J31" s="62">
        <v>0.26288</v>
      </c>
      <c r="K31" s="62">
        <v>0.20428299999999999</v>
      </c>
    </row>
    <row r="32" spans="1:11" x14ac:dyDescent="0.2">
      <c r="A32" t="s">
        <v>252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</row>
    <row r="33" spans="1:11" x14ac:dyDescent="0.2">
      <c r="A33" t="s">
        <v>253</v>
      </c>
      <c r="B33" s="62">
        <v>20.632735</v>
      </c>
      <c r="C33" s="62">
        <v>18.866792</v>
      </c>
      <c r="D33" s="62">
        <v>17.302866999999999</v>
      </c>
      <c r="E33" s="62">
        <v>16.081288000000001</v>
      </c>
      <c r="F33" s="62">
        <v>12.366294999999999</v>
      </c>
      <c r="G33" s="62">
        <v>9.9941589999999998</v>
      </c>
      <c r="H33" s="62">
        <v>10.851665000000001</v>
      </c>
      <c r="I33" s="62">
        <v>9.3562030000000007</v>
      </c>
      <c r="J33" s="62">
        <v>7.848776</v>
      </c>
      <c r="K33" s="62">
        <v>7.0426229999999999</v>
      </c>
    </row>
    <row r="34" spans="1:11" x14ac:dyDescent="0.2">
      <c r="A34" t="s">
        <v>254</v>
      </c>
      <c r="B34" s="62">
        <v>4.6427149999999999</v>
      </c>
      <c r="C34" s="62">
        <v>3.8217639999999999</v>
      </c>
      <c r="D34" s="62">
        <v>3.9767030000000001</v>
      </c>
      <c r="E34" s="62">
        <v>4.6303679999999998</v>
      </c>
      <c r="F34" s="62">
        <v>3.6504180000000002</v>
      </c>
      <c r="G34" s="62">
        <v>2.1693929999999999</v>
      </c>
      <c r="H34" s="62">
        <v>2.2502520000000001</v>
      </c>
      <c r="I34" s="62">
        <v>2.1437970000000002</v>
      </c>
      <c r="J34" s="62">
        <v>2.026224</v>
      </c>
      <c r="K34" s="62">
        <v>1.7352460000000001</v>
      </c>
    </row>
    <row r="35" spans="1:11" x14ac:dyDescent="0.2">
      <c r="A35" t="s">
        <v>255</v>
      </c>
      <c r="B35" s="62">
        <v>4.020359</v>
      </c>
      <c r="C35" s="62">
        <v>2.8864920000000001</v>
      </c>
      <c r="D35" s="62">
        <v>1.9734769999999999</v>
      </c>
      <c r="E35" s="62">
        <v>2.3432520000000001</v>
      </c>
      <c r="F35" s="62">
        <v>1.3298049999999999</v>
      </c>
      <c r="G35" s="62">
        <v>1.983411</v>
      </c>
      <c r="H35" s="62">
        <v>2.55227</v>
      </c>
      <c r="I35" s="62">
        <v>-0.94266899999999998</v>
      </c>
      <c r="J35" s="62">
        <v>6.3446680000000004</v>
      </c>
      <c r="K35" s="62">
        <v>1.4093439999999999</v>
      </c>
    </row>
    <row r="36" spans="1:11" x14ac:dyDescent="0.2">
      <c r="A36" t="s">
        <v>256</v>
      </c>
      <c r="B36" s="62">
        <v>3.9817999999999998</v>
      </c>
      <c r="C36" s="62">
        <v>5.2207999999999997</v>
      </c>
      <c r="D36" s="62">
        <v>-2.2742</v>
      </c>
      <c r="E36" s="62">
        <v>-3.3405</v>
      </c>
      <c r="F36" s="62">
        <v>2.5337999999999998</v>
      </c>
      <c r="G36" s="62">
        <v>2.1036000000000001</v>
      </c>
      <c r="H36" s="62">
        <v>2.58</v>
      </c>
      <c r="I36" s="62">
        <v>-0.95579999999999998</v>
      </c>
      <c r="J36" s="62">
        <v>6.41</v>
      </c>
      <c r="K36" s="62">
        <v>1.43</v>
      </c>
    </row>
    <row r="37" spans="1:11" x14ac:dyDescent="0.2">
      <c r="A37" t="s">
        <v>257</v>
      </c>
      <c r="B37" s="62">
        <v>3.9420999999999999</v>
      </c>
      <c r="C37" s="62">
        <v>5.1913999999999998</v>
      </c>
      <c r="D37" s="62">
        <v>-2.2742</v>
      </c>
      <c r="E37" s="62">
        <v>-3.3405</v>
      </c>
      <c r="F37" s="62">
        <v>2.5055999999999998</v>
      </c>
      <c r="G37" s="62">
        <v>2.0863999999999998</v>
      </c>
      <c r="H37" s="62">
        <v>2.5499999999999998</v>
      </c>
      <c r="I37" s="62">
        <v>-0.95579999999999998</v>
      </c>
      <c r="J37" s="62">
        <v>6.35</v>
      </c>
      <c r="K37" s="62">
        <v>1.4138999999999999</v>
      </c>
    </row>
    <row r="38" spans="1:11" x14ac:dyDescent="0.2">
      <c r="A38" t="s">
        <v>258</v>
      </c>
      <c r="B38" s="62">
        <v>1.08</v>
      </c>
      <c r="C38" s="62">
        <v>1</v>
      </c>
      <c r="D38" s="62">
        <v>0.88</v>
      </c>
      <c r="E38" s="62">
        <v>0.72</v>
      </c>
      <c r="F38" s="62">
        <v>0.64</v>
      </c>
      <c r="G38" s="62">
        <v>0.56000000000000005</v>
      </c>
      <c r="H38" s="62">
        <v>0</v>
      </c>
      <c r="I38" s="62">
        <v>0</v>
      </c>
      <c r="J38" s="62">
        <v>0</v>
      </c>
      <c r="K38" s="62">
        <v>0</v>
      </c>
    </row>
    <row r="39" spans="1:11" x14ac:dyDescent="0.2">
      <c r="A39" t="s">
        <v>259</v>
      </c>
      <c r="B39" s="62">
        <v>27.396564999999999</v>
      </c>
      <c r="C39" s="62">
        <v>19.262626999999998</v>
      </c>
      <c r="D39" s="62"/>
      <c r="E39" s="62"/>
      <c r="F39" s="62">
        <v>25.542784000000001</v>
      </c>
      <c r="G39" s="62">
        <v>26.840491</v>
      </c>
      <c r="H39" s="62">
        <v>0</v>
      </c>
      <c r="I39" s="62"/>
      <c r="J39" s="62">
        <v>0</v>
      </c>
      <c r="K39" s="62">
        <v>0</v>
      </c>
    </row>
    <row r="40" spans="1:11" x14ac:dyDescent="0.2">
      <c r="A40" t="s">
        <v>260</v>
      </c>
      <c r="B40" s="62">
        <v>10.951169999999999</v>
      </c>
      <c r="C40" s="62">
        <v>12.371370000000001</v>
      </c>
      <c r="D40" s="62">
        <v>9.5602999999999998</v>
      </c>
      <c r="E40" s="62">
        <v>16.461279999999999</v>
      </c>
      <c r="F40" s="62">
        <v>5.2061400000000004</v>
      </c>
      <c r="G40" s="62">
        <v>3.6055299999999999</v>
      </c>
      <c r="H40" s="62">
        <v>6.8644800000000004</v>
      </c>
      <c r="I40" s="62">
        <v>7.8221600000000002</v>
      </c>
      <c r="J40" s="62">
        <v>9.6954899999999995</v>
      </c>
      <c r="K40" s="62">
        <v>5.5540500000000002</v>
      </c>
    </row>
    <row r="41" spans="1:11" x14ac:dyDescent="0.2">
      <c r="A41" t="s">
        <v>261</v>
      </c>
      <c r="B41" s="62">
        <v>1.6348199999999999</v>
      </c>
      <c r="C41" s="62">
        <v>3.8974850000000001</v>
      </c>
      <c r="D41" s="62">
        <v>1.439703</v>
      </c>
      <c r="E41" s="62">
        <v>9.4141410000000008</v>
      </c>
      <c r="F41" s="62">
        <v>-1.076023</v>
      </c>
      <c r="G41" s="62">
        <v>-2.138191</v>
      </c>
      <c r="H41" s="62">
        <v>1.12459</v>
      </c>
      <c r="I41" s="62">
        <v>3.1166179999999999</v>
      </c>
      <c r="J41" s="62">
        <v>5.4609019999999999</v>
      </c>
      <c r="K41" s="62">
        <v>1.71875</v>
      </c>
    </row>
    <row r="42" spans="1:11" x14ac:dyDescent="0.2">
      <c r="A42" t="s">
        <v>262</v>
      </c>
      <c r="B42" s="62">
        <v>4.8183629999999997</v>
      </c>
      <c r="C42" s="62">
        <v>4.5515949999999998</v>
      </c>
      <c r="D42" s="62">
        <v>4.0394269999999999</v>
      </c>
      <c r="E42" s="62">
        <v>4.0751530000000002</v>
      </c>
      <c r="F42" s="62">
        <v>3.369081</v>
      </c>
      <c r="G42" s="62">
        <v>3.6378499999999998</v>
      </c>
      <c r="H42" s="62">
        <v>2.6821389999999998</v>
      </c>
      <c r="I42" s="62">
        <v>2.9567670000000001</v>
      </c>
      <c r="J42" s="62">
        <v>2.4702799999999998</v>
      </c>
      <c r="K42" s="62">
        <v>3.3057379999999998</v>
      </c>
    </row>
    <row r="43" spans="1:11" x14ac:dyDescent="0.2">
      <c r="A43" t="s">
        <v>263</v>
      </c>
      <c r="B43" s="62">
        <v>3.9041920000000001</v>
      </c>
      <c r="C43" s="62">
        <v>3.6960600000000001</v>
      </c>
      <c r="D43" s="62">
        <v>3.2347670000000002</v>
      </c>
      <c r="E43" s="62">
        <v>3.3941720000000002</v>
      </c>
      <c r="F43" s="62">
        <v>2.724234</v>
      </c>
      <c r="G43" s="62">
        <v>3.026869</v>
      </c>
      <c r="H43" s="62">
        <v>2.0252270000000001</v>
      </c>
      <c r="I43" s="62">
        <v>2.3308270000000002</v>
      </c>
      <c r="J43" s="62">
        <v>1.9230769999999999</v>
      </c>
      <c r="K43" s="62">
        <v>2.758197</v>
      </c>
    </row>
    <row r="44" spans="1:11" x14ac:dyDescent="0.2">
      <c r="A44" t="s">
        <v>264</v>
      </c>
      <c r="B44" s="62">
        <v>501</v>
      </c>
      <c r="C44" s="62">
        <v>533</v>
      </c>
      <c r="D44" s="62">
        <v>558</v>
      </c>
      <c r="E44" s="62">
        <v>652</v>
      </c>
      <c r="F44" s="62">
        <v>718</v>
      </c>
      <c r="G44" s="62">
        <v>856</v>
      </c>
      <c r="H44" s="62">
        <v>991</v>
      </c>
      <c r="I44" s="62">
        <v>1064</v>
      </c>
      <c r="J44" s="62">
        <v>1144</v>
      </c>
      <c r="K44" s="62">
        <v>1220</v>
      </c>
    </row>
    <row r="45" spans="1:11" x14ac:dyDescent="0.2">
      <c r="A45" t="s">
        <v>265</v>
      </c>
      <c r="B45" s="62">
        <v>496</v>
      </c>
      <c r="C45" s="62">
        <v>530</v>
      </c>
      <c r="D45" s="62">
        <v>558</v>
      </c>
      <c r="E45" s="62">
        <v>652</v>
      </c>
      <c r="F45" s="62">
        <v>710</v>
      </c>
      <c r="G45" s="62">
        <v>849</v>
      </c>
      <c r="H45" s="62">
        <v>980</v>
      </c>
      <c r="I45" s="62">
        <v>1064</v>
      </c>
      <c r="J45" s="62">
        <v>1133</v>
      </c>
      <c r="K45" s="62">
        <v>1208</v>
      </c>
    </row>
    <row r="46" spans="1:11" x14ac:dyDescent="0.2">
      <c r="A46" t="s">
        <v>266</v>
      </c>
      <c r="B46" s="62">
        <v>471</v>
      </c>
      <c r="C46" s="62">
        <v>517</v>
      </c>
      <c r="D46" s="62">
        <v>539</v>
      </c>
      <c r="E46" s="62">
        <v>594</v>
      </c>
      <c r="F46" s="62">
        <v>684</v>
      </c>
      <c r="G46" s="62">
        <v>796</v>
      </c>
      <c r="H46" s="62">
        <v>915</v>
      </c>
      <c r="I46" s="62">
        <v>1029</v>
      </c>
      <c r="J46" s="62">
        <v>1087</v>
      </c>
      <c r="K46" s="62">
        <v>1184</v>
      </c>
    </row>
    <row r="47" spans="1:11" x14ac:dyDescent="0.2">
      <c r="A47" t="s">
        <v>267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</row>
    <row r="48" spans="1:11" x14ac:dyDescent="0.2">
      <c r="A48" t="s">
        <v>268</v>
      </c>
      <c r="B48" s="62">
        <v>1.3573630000000001</v>
      </c>
      <c r="C48" s="62">
        <v>1.2172860000000001</v>
      </c>
      <c r="D48" s="62">
        <v>1.30209</v>
      </c>
      <c r="E48" s="62">
        <v>1.9387939999999999</v>
      </c>
      <c r="F48" s="62">
        <v>2.8440099999999999</v>
      </c>
      <c r="G48" s="62">
        <v>2.2319330000000002</v>
      </c>
      <c r="H48" s="62">
        <v>1.995546</v>
      </c>
      <c r="I48" s="62">
        <v>1.5301260000000001</v>
      </c>
      <c r="J48" s="62">
        <v>1.3522590000000001</v>
      </c>
      <c r="K48" s="62">
        <v>1.2304170000000001</v>
      </c>
    </row>
    <row r="49" spans="1:11" x14ac:dyDescent="0.2">
      <c r="A49" t="s">
        <v>269</v>
      </c>
      <c r="B49" s="62">
        <v>9.6024150000000006</v>
      </c>
      <c r="C49" s="62">
        <v>9.2214580000000002</v>
      </c>
      <c r="D49" s="62">
        <v>11.009122</v>
      </c>
      <c r="E49" s="62">
        <v>14.654088</v>
      </c>
      <c r="F49" s="62">
        <v>9.6932310000000008</v>
      </c>
      <c r="G49" s="62">
        <v>6.6783760000000001</v>
      </c>
      <c r="H49" s="62">
        <v>7.8496350000000001</v>
      </c>
      <c r="I49" s="62">
        <v>7.8385829999999999</v>
      </c>
      <c r="J49" s="62">
        <v>7.7271939999999999</v>
      </c>
      <c r="K49" s="62">
        <v>9.8645239999999994</v>
      </c>
    </row>
    <row r="50" spans="1:11" x14ac:dyDescent="0.2">
      <c r="A50" t="s">
        <v>270</v>
      </c>
      <c r="B50" s="62">
        <v>1.112522</v>
      </c>
      <c r="C50" s="62">
        <v>0.99044600000000005</v>
      </c>
      <c r="D50" s="62">
        <v>1.049399</v>
      </c>
      <c r="E50" s="62">
        <v>1.286424</v>
      </c>
      <c r="F50" s="62">
        <v>1.4927710000000001</v>
      </c>
      <c r="G50" s="62">
        <v>1.446078</v>
      </c>
      <c r="H50" s="62">
        <v>1.446402</v>
      </c>
      <c r="I50" s="62">
        <v>1.198026</v>
      </c>
      <c r="J50" s="62">
        <v>1.0702659999999999</v>
      </c>
      <c r="K50" s="62">
        <v>0.499027</v>
      </c>
    </row>
    <row r="51" spans="1:11" x14ac:dyDescent="0.2">
      <c r="A51" t="s">
        <v>271</v>
      </c>
      <c r="B51" s="62">
        <v>6.0344420000000003</v>
      </c>
      <c r="C51" s="62">
        <v>5.767709</v>
      </c>
      <c r="D51" s="62">
        <v>5.8943830000000004</v>
      </c>
      <c r="E51" s="62">
        <v>6.4582689999999996</v>
      </c>
      <c r="F51" s="62">
        <v>4.7165999999999997</v>
      </c>
      <c r="G51" s="62">
        <v>4.7005489999999996</v>
      </c>
      <c r="H51" s="62">
        <v>6.7338760000000004</v>
      </c>
      <c r="I51" s="62">
        <v>6.3957600000000001</v>
      </c>
      <c r="J51" s="62">
        <v>5.8495109999999997</v>
      </c>
      <c r="K51" s="62">
        <v>5.6526319999999997</v>
      </c>
    </row>
    <row r="52" spans="1:11" x14ac:dyDescent="0.2">
      <c r="A52" t="s">
        <v>272</v>
      </c>
      <c r="B52" s="62">
        <v>0.50442799999999999</v>
      </c>
      <c r="C52" s="62">
        <v>0.47355799999999998</v>
      </c>
      <c r="D52" s="62">
        <v>0.40673199999999998</v>
      </c>
      <c r="E52" s="62">
        <v>0.45650499999999999</v>
      </c>
      <c r="F52" s="62">
        <v>0.47374899999999998</v>
      </c>
      <c r="G52" s="62">
        <v>0.41738799999999998</v>
      </c>
      <c r="H52" s="62">
        <v>0.440693</v>
      </c>
      <c r="I52" s="62">
        <v>0.399534</v>
      </c>
      <c r="J52" s="62">
        <v>0.43135099999999998</v>
      </c>
      <c r="K52" s="62">
        <v>0.27312199999999998</v>
      </c>
    </row>
    <row r="53" spans="1:11" x14ac:dyDescent="0.2">
      <c r="A53" t="s">
        <v>273</v>
      </c>
      <c r="B53" s="62"/>
      <c r="C53" s="62"/>
      <c r="D53" s="62"/>
      <c r="E53" s="62"/>
      <c r="F53" s="62"/>
      <c r="G53" s="62"/>
      <c r="H53" s="62"/>
      <c r="I53" s="62"/>
      <c r="J53" s="62"/>
      <c r="K53" s="62"/>
    </row>
    <row r="54" spans="1:11" x14ac:dyDescent="0.2">
      <c r="A54" t="s">
        <v>274</v>
      </c>
      <c r="B54" s="62">
        <v>0.50442799999999999</v>
      </c>
      <c r="C54" s="62">
        <v>0.47355799999999998</v>
      </c>
      <c r="D54" s="62">
        <v>0.40673199999999998</v>
      </c>
      <c r="E54" s="62">
        <v>0.45650499999999999</v>
      </c>
      <c r="F54" s="62">
        <v>0.47374899999999998</v>
      </c>
      <c r="G54" s="62">
        <v>0.41738799999999998</v>
      </c>
      <c r="H54" s="62">
        <v>0.440693</v>
      </c>
      <c r="I54" s="62">
        <v>0.399534</v>
      </c>
      <c r="J54" s="62">
        <v>0.43135099999999998</v>
      </c>
      <c r="K54" s="62">
        <v>0.27312199999999998</v>
      </c>
    </row>
    <row r="55" spans="1:11" x14ac:dyDescent="0.2">
      <c r="A55" t="s">
        <v>275</v>
      </c>
      <c r="B55" s="62">
        <v>22.037341999999999</v>
      </c>
      <c r="C55" s="62">
        <v>36.863563999999997</v>
      </c>
      <c r="D55" s="62">
        <v>-16.582082</v>
      </c>
      <c r="E55" s="62">
        <v>3.7958989999999999</v>
      </c>
      <c r="F55" s="62">
        <v>37.673161</v>
      </c>
      <c r="G55" s="62">
        <v>20.444185000000001</v>
      </c>
      <c r="H55" s="62">
        <v>25.274317</v>
      </c>
      <c r="I55" s="62">
        <v>22.852837999999998</v>
      </c>
      <c r="J55" s="62">
        <v>40.661543999999999</v>
      </c>
      <c r="K55" s="62">
        <v>28.002793</v>
      </c>
    </row>
    <row r="56" spans="1:11" x14ac:dyDescent="0.2">
      <c r="A56" t="s">
        <v>276</v>
      </c>
      <c r="B56" s="62">
        <v>11.116262000000001</v>
      </c>
      <c r="C56" s="62">
        <v>17.457028000000001</v>
      </c>
      <c r="D56" s="62">
        <v>-6.7444600000000001</v>
      </c>
      <c r="E56" s="62">
        <v>1.7328460000000001</v>
      </c>
      <c r="F56" s="62">
        <v>17.847615000000001</v>
      </c>
      <c r="G56" s="62">
        <v>8.5331639999999993</v>
      </c>
      <c r="H56" s="62">
        <v>11.138203000000001</v>
      </c>
      <c r="I56" s="62">
        <v>9.1304960000000008</v>
      </c>
      <c r="J56" s="62">
        <v>17.539393</v>
      </c>
      <c r="K56" s="62">
        <v>7.6481709999999996</v>
      </c>
    </row>
    <row r="57" spans="1:11" x14ac:dyDescent="0.2">
      <c r="A57" t="s">
        <v>277</v>
      </c>
      <c r="B57" s="62">
        <v>86.962248000000002</v>
      </c>
      <c r="C57" s="62">
        <v>74.858376000000007</v>
      </c>
      <c r="D57" s="62"/>
      <c r="E57" s="62">
        <v>63.316583000000001</v>
      </c>
      <c r="F57" s="62">
        <v>74.349776000000006</v>
      </c>
      <c r="G57" s="62">
        <v>86.678101999999996</v>
      </c>
      <c r="H57" s="62">
        <v>93.009566000000007</v>
      </c>
      <c r="I57" s="62">
        <v>-44.527473000000001</v>
      </c>
      <c r="J57" s="62">
        <v>199.53437400000001</v>
      </c>
      <c r="K57" s="62">
        <v>80.922692999999995</v>
      </c>
    </row>
    <row r="58" spans="1:11" x14ac:dyDescent="0.2">
      <c r="A58" t="s">
        <v>278</v>
      </c>
      <c r="B58" s="62">
        <v>9.6669509999999992</v>
      </c>
      <c r="C58" s="62">
        <v>13.068047999999999</v>
      </c>
      <c r="D58" s="62">
        <v>-5.3669219999999997</v>
      </c>
      <c r="E58" s="62">
        <v>1.0971789999999999</v>
      </c>
      <c r="F58" s="62">
        <v>13.269662</v>
      </c>
      <c r="G58" s="62">
        <v>7.3963850000000004</v>
      </c>
      <c r="H58" s="62">
        <v>10.359594</v>
      </c>
      <c r="I58" s="62">
        <v>-4.0655789999999996</v>
      </c>
      <c r="J58" s="62">
        <v>34.997118</v>
      </c>
      <c r="K58" s="62">
        <v>6.1891059999999998</v>
      </c>
    </row>
    <row r="59" spans="1:11" x14ac:dyDescent="0.2">
      <c r="A59" t="s">
        <v>279</v>
      </c>
      <c r="B59" s="62">
        <v>3.547256</v>
      </c>
      <c r="C59" s="62">
        <v>3.6773750000000001</v>
      </c>
      <c r="D59" s="62">
        <v>3.1796929999999999</v>
      </c>
      <c r="E59" s="62">
        <v>3.4437359999999999</v>
      </c>
      <c r="F59" s="62">
        <v>5.8286429999999996</v>
      </c>
      <c r="G59" s="62">
        <v>4.4796199999999997</v>
      </c>
      <c r="H59" s="62">
        <v>3.4057919999999999</v>
      </c>
      <c r="I59" s="62">
        <v>2.6809229999999999</v>
      </c>
      <c r="J59" s="62">
        <v>2.4324859999999999</v>
      </c>
      <c r="K59" s="62">
        <v>2.3758400000000002</v>
      </c>
    </row>
    <row r="60" spans="1:11" x14ac:dyDescent="0.2">
      <c r="A60" t="s">
        <v>280</v>
      </c>
      <c r="B60" s="62">
        <v>34.291155000000003</v>
      </c>
      <c r="C60" s="62">
        <v>48.056108999999999</v>
      </c>
      <c r="D60" s="62">
        <v>-17.065166000000001</v>
      </c>
      <c r="E60" s="62">
        <v>3.778394</v>
      </c>
      <c r="F60" s="62">
        <v>77.344114000000005</v>
      </c>
      <c r="G60" s="62">
        <v>33.132990999999997</v>
      </c>
      <c r="H60" s="62">
        <v>35.282623999999998</v>
      </c>
      <c r="I60" s="62">
        <v>-10.899505</v>
      </c>
      <c r="J60" s="62">
        <v>85.130003000000002</v>
      </c>
      <c r="K60" s="62">
        <v>14.704326999999999</v>
      </c>
    </row>
    <row r="61" spans="1:11" x14ac:dyDescent="0.2">
      <c r="A61" t="s">
        <v>281</v>
      </c>
      <c r="B61" s="62">
        <v>72.603435000000005</v>
      </c>
      <c r="C61" s="62">
        <v>80.737373000000005</v>
      </c>
      <c r="D61" s="62"/>
      <c r="E61" s="62"/>
      <c r="F61" s="62">
        <v>74.457216000000003</v>
      </c>
      <c r="G61" s="62">
        <v>73.159509</v>
      </c>
      <c r="H61" s="62">
        <v>100</v>
      </c>
      <c r="I61" s="62"/>
      <c r="J61" s="62">
        <v>100</v>
      </c>
      <c r="K61" s="62">
        <v>100</v>
      </c>
    </row>
    <row r="62" spans="1:11" x14ac:dyDescent="0.2">
      <c r="A62" t="s">
        <v>282</v>
      </c>
      <c r="B62" s="62">
        <v>25.064913000000001</v>
      </c>
      <c r="C62" s="62">
        <v>38.912460000000003</v>
      </c>
      <c r="D62" s="62">
        <v>-23.615297000000002</v>
      </c>
      <c r="E62" s="62">
        <v>-3.2086359999999998</v>
      </c>
      <c r="F62" s="62">
        <v>63.442698999999998</v>
      </c>
      <c r="G62" s="62">
        <v>22.795323</v>
      </c>
      <c r="H62" s="62">
        <v>35.282623999999998</v>
      </c>
      <c r="I62" s="62">
        <v>-10.899505</v>
      </c>
      <c r="J62" s="62">
        <v>85.130003000000002</v>
      </c>
      <c r="K62" s="62">
        <v>14.704326999999999</v>
      </c>
    </row>
    <row r="63" spans="1:11" x14ac:dyDescent="0.2">
      <c r="A63" t="s">
        <v>283</v>
      </c>
      <c r="B63" s="62">
        <v>11.350493999999999</v>
      </c>
      <c r="C63" s="62">
        <v>9.5926539999999996</v>
      </c>
      <c r="D63" s="62">
        <v>9.3478809999999992</v>
      </c>
      <c r="E63" s="62">
        <v>13.144375</v>
      </c>
      <c r="F63" s="62">
        <v>13.984633000000001</v>
      </c>
      <c r="G63" s="62">
        <v>9.0600830000000006</v>
      </c>
      <c r="H63" s="62">
        <v>9.1384080000000001</v>
      </c>
      <c r="I63" s="62">
        <v>9.1545760000000005</v>
      </c>
      <c r="J63" s="62">
        <v>11.135664999999999</v>
      </c>
      <c r="K63" s="62">
        <v>6.729501</v>
      </c>
    </row>
    <row r="64" spans="1:11" x14ac:dyDescent="0.2">
      <c r="A64" t="s">
        <v>284</v>
      </c>
      <c r="B64" s="62">
        <v>1.337464</v>
      </c>
      <c r="C64" s="62">
        <v>1.216466</v>
      </c>
      <c r="D64" s="62">
        <v>1.1270979999999999</v>
      </c>
      <c r="E64" s="62">
        <v>1.0102910000000001</v>
      </c>
      <c r="F64" s="62">
        <v>1.574314</v>
      </c>
      <c r="G64" s="62">
        <v>1.711236</v>
      </c>
      <c r="H64" s="62">
        <v>1.428634</v>
      </c>
      <c r="I64" s="62">
        <v>1.1236820000000001</v>
      </c>
      <c r="J64" s="62">
        <v>0.94351499999999999</v>
      </c>
      <c r="K64" s="62">
        <v>0.80967100000000003</v>
      </c>
    </row>
    <row r="65" spans="1:11" x14ac:dyDescent="0.2">
      <c r="A65" t="s">
        <v>285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</row>
    <row r="66" spans="1:11" x14ac:dyDescent="0.2">
      <c r="A66" t="s">
        <v>286</v>
      </c>
      <c r="B66" s="62">
        <v>898869.56521699997</v>
      </c>
      <c r="C66" s="62">
        <v>817560.97560999996</v>
      </c>
      <c r="D66" s="62">
        <v>832327.58620699996</v>
      </c>
      <c r="E66" s="62">
        <v>970833.33333299996</v>
      </c>
      <c r="F66" s="62"/>
      <c r="G66" s="62">
        <v>643233.08270699997</v>
      </c>
      <c r="H66" s="62">
        <v>768142.857143</v>
      </c>
      <c r="I66" s="62"/>
      <c r="J66" s="62">
        <v>712619.04761899996</v>
      </c>
      <c r="K66" s="62">
        <v>740689.65517200006</v>
      </c>
    </row>
    <row r="67" spans="1:11" x14ac:dyDescent="0.2">
      <c r="A67" t="s">
        <v>287</v>
      </c>
      <c r="B67" s="62">
        <v>172260.869565</v>
      </c>
      <c r="C67" s="62">
        <v>225609.75609800001</v>
      </c>
      <c r="D67" s="62">
        <v>-109827.586207</v>
      </c>
      <c r="E67" s="62">
        <v>23333.333332999999</v>
      </c>
      <c r="F67" s="62"/>
      <c r="G67" s="62">
        <v>113984.96240600001</v>
      </c>
      <c r="H67" s="62">
        <v>180571.428571</v>
      </c>
      <c r="I67" s="62"/>
      <c r="J67" s="62">
        <v>578174.60317500005</v>
      </c>
      <c r="K67" s="62">
        <v>167844.827586</v>
      </c>
    </row>
    <row r="68" spans="1:11" x14ac:dyDescent="0.2">
      <c r="A68" t="s">
        <v>288</v>
      </c>
      <c r="B68" s="62">
        <v>1683913.043478</v>
      </c>
      <c r="C68" s="62">
        <v>1757723.577236</v>
      </c>
      <c r="D68" s="62">
        <v>1797413.7931029999</v>
      </c>
      <c r="E68" s="62">
        <v>2465370.3703700001</v>
      </c>
      <c r="F68" s="62"/>
      <c r="G68" s="62">
        <v>1366466.1654139999</v>
      </c>
      <c r="H68" s="62">
        <v>1629928.571429</v>
      </c>
      <c r="I68" s="62"/>
      <c r="J68" s="62">
        <v>1892619.0476190001</v>
      </c>
      <c r="K68" s="62">
        <v>1533189.6551719999</v>
      </c>
    </row>
    <row r="69" spans="1:11" x14ac:dyDescent="0.2">
      <c r="A69" t="s">
        <v>289</v>
      </c>
      <c r="B69" s="62">
        <v>9.6024150000000006</v>
      </c>
      <c r="C69" s="62">
        <v>9.2214580000000002</v>
      </c>
      <c r="D69" s="62">
        <v>11.009122</v>
      </c>
      <c r="E69" s="62">
        <v>14.654088</v>
      </c>
      <c r="F69" s="62">
        <v>9.6932310000000008</v>
      </c>
      <c r="G69" s="62">
        <v>6.6783760000000001</v>
      </c>
      <c r="H69" s="62">
        <v>7.8496350000000001</v>
      </c>
      <c r="I69" s="62">
        <v>7.8385829999999999</v>
      </c>
      <c r="J69" s="62">
        <v>7.7271939999999999</v>
      </c>
      <c r="K69" s="62">
        <v>9.8645239999999994</v>
      </c>
    </row>
    <row r="70" spans="1:11" x14ac:dyDescent="0.2">
      <c r="A70" t="s">
        <v>290</v>
      </c>
      <c r="B70" s="62">
        <v>2.2265000000000001</v>
      </c>
      <c r="C70" s="62">
        <v>2.4196</v>
      </c>
      <c r="D70" s="62">
        <v>2.6777000000000002</v>
      </c>
      <c r="E70" s="62">
        <v>3.2755000000000001</v>
      </c>
      <c r="F70" s="62">
        <v>2.3073999999999999</v>
      </c>
      <c r="G70" s="62">
        <v>2.2887</v>
      </c>
      <c r="H70" s="62">
        <v>2.5244</v>
      </c>
      <c r="I70" s="62">
        <v>2.5617000000000001</v>
      </c>
      <c r="J70" s="62">
        <v>2.5123000000000002</v>
      </c>
      <c r="K70" s="62">
        <v>3.9569000000000001</v>
      </c>
    </row>
    <row r="71" spans="1:11" x14ac:dyDescent="0.2">
      <c r="A71" t="s">
        <v>291</v>
      </c>
      <c r="B71" s="62">
        <v>0.50442799999999999</v>
      </c>
      <c r="C71" s="62">
        <v>0.47355799999999998</v>
      </c>
      <c r="D71" s="62">
        <v>0.40673199999999998</v>
      </c>
      <c r="E71" s="62">
        <v>0.45650499999999999</v>
      </c>
      <c r="F71" s="62">
        <v>0.47374899999999998</v>
      </c>
      <c r="G71" s="62">
        <v>0.41738799999999998</v>
      </c>
      <c r="H71" s="62">
        <v>0.440693</v>
      </c>
      <c r="I71" s="62">
        <v>0.399534</v>
      </c>
      <c r="J71" s="62">
        <v>0.43135099999999998</v>
      </c>
      <c r="K71" s="62">
        <v>0.27312199999999998</v>
      </c>
    </row>
    <row r="72" spans="1:11" x14ac:dyDescent="0.2">
      <c r="A72" t="s">
        <v>292</v>
      </c>
      <c r="B72" s="62">
        <v>7.0367600000000001</v>
      </c>
      <c r="C72" s="62">
        <v>1.54803</v>
      </c>
      <c r="D72" s="62">
        <v>1.9236899999999999</v>
      </c>
      <c r="E72" s="62">
        <v>2.3357100000000002</v>
      </c>
      <c r="F72" s="62">
        <v>2.7851319999999999</v>
      </c>
      <c r="G72" s="62">
        <v>13.367188000000001</v>
      </c>
      <c r="H72" s="62">
        <v>4.0247010000000003</v>
      </c>
      <c r="I72" s="62">
        <v>2.3787340000000001</v>
      </c>
      <c r="J72" s="62">
        <v>1.7858000000000001</v>
      </c>
      <c r="K72" s="62">
        <v>1.523134</v>
      </c>
    </row>
    <row r="73" spans="1:11" x14ac:dyDescent="0.2">
      <c r="A73" t="s">
        <v>293</v>
      </c>
      <c r="B73" s="62"/>
      <c r="C73" s="62"/>
      <c r="D73" s="62"/>
      <c r="E73" s="62"/>
      <c r="F73" s="62"/>
      <c r="G73" s="62"/>
      <c r="H73" s="62"/>
      <c r="I73" s="62"/>
      <c r="J73" s="62"/>
      <c r="K73" s="62"/>
    </row>
    <row r="74" spans="1:11" x14ac:dyDescent="0.2">
      <c r="A74" t="s">
        <v>294</v>
      </c>
      <c r="B74" s="62"/>
      <c r="C74" s="62"/>
      <c r="D74" s="62"/>
      <c r="E74" s="62"/>
      <c r="F74" s="62"/>
      <c r="G74" s="62"/>
      <c r="H74" s="62"/>
      <c r="I74" s="62"/>
      <c r="J74" s="62"/>
      <c r="K74" s="62"/>
    </row>
    <row r="75" spans="1:11" x14ac:dyDescent="0.2">
      <c r="A75" t="s">
        <v>295</v>
      </c>
      <c r="B75" s="62">
        <v>38.011270000000003</v>
      </c>
      <c r="C75" s="62">
        <v>39.581592999999998</v>
      </c>
      <c r="D75" s="62">
        <v>33.154324000000003</v>
      </c>
      <c r="E75" s="62">
        <v>24.907724999999999</v>
      </c>
      <c r="F75" s="62">
        <v>37.655141</v>
      </c>
      <c r="G75" s="62">
        <v>54.654004</v>
      </c>
      <c r="H75" s="62">
        <v>46.498976999999996</v>
      </c>
      <c r="I75" s="62">
        <v>46.564540000000001</v>
      </c>
      <c r="J75" s="62">
        <v>47.235771999999997</v>
      </c>
      <c r="K75" s="62">
        <v>37.001280000000001</v>
      </c>
    </row>
    <row r="76" spans="1:11" x14ac:dyDescent="0.2">
      <c r="A76" t="s">
        <v>296</v>
      </c>
      <c r="B76" s="62"/>
      <c r="C76" s="62"/>
      <c r="D76" s="62"/>
      <c r="E76" s="62"/>
      <c r="F76" s="62"/>
      <c r="G76" s="62"/>
      <c r="H76" s="62"/>
      <c r="I76" s="62"/>
      <c r="J76" s="62"/>
      <c r="K76" s="62"/>
    </row>
    <row r="77" spans="1:11" x14ac:dyDescent="0.2">
      <c r="A77" t="s">
        <v>297</v>
      </c>
      <c r="B77" s="62">
        <v>163.934426</v>
      </c>
      <c r="C77" s="62">
        <v>150.85138000000001</v>
      </c>
      <c r="D77" s="62">
        <v>136.311013</v>
      </c>
      <c r="E77" s="62">
        <v>111.433369</v>
      </c>
      <c r="F77" s="62">
        <v>158.18670399999999</v>
      </c>
      <c r="G77" s="62">
        <v>159.47918000000001</v>
      </c>
      <c r="H77" s="62">
        <v>144.58881299999999</v>
      </c>
      <c r="I77" s="62">
        <v>142.483507</v>
      </c>
      <c r="J77" s="62">
        <v>145.28519700000001</v>
      </c>
      <c r="K77" s="62">
        <v>92.243927999999997</v>
      </c>
    </row>
    <row r="78" spans="1:11" x14ac:dyDescent="0.2">
      <c r="A78" t="s">
        <v>298</v>
      </c>
      <c r="B78" s="62"/>
      <c r="C78" s="62"/>
      <c r="D78" s="62"/>
      <c r="E78" s="62"/>
      <c r="F78" s="62"/>
      <c r="G78" s="62"/>
      <c r="H78" s="62"/>
      <c r="I78" s="62"/>
      <c r="J78" s="62"/>
      <c r="K78" s="62"/>
    </row>
    <row r="79" spans="1:11" x14ac:dyDescent="0.2">
      <c r="A79" t="s">
        <v>299</v>
      </c>
      <c r="B79" s="62">
        <v>1.240899</v>
      </c>
      <c r="C79" s="62">
        <v>2.4371679999999998</v>
      </c>
      <c r="D79" s="62">
        <v>2.175135</v>
      </c>
      <c r="E79" s="62">
        <v>1.971225</v>
      </c>
      <c r="F79" s="62">
        <v>1.796602</v>
      </c>
      <c r="G79" s="62">
        <v>1.157403</v>
      </c>
      <c r="H79" s="62">
        <v>1.5999099999999999</v>
      </c>
      <c r="I79" s="62">
        <v>2.1758920000000002</v>
      </c>
      <c r="J79" s="62">
        <v>2.3069920000000002</v>
      </c>
      <c r="K79" s="62">
        <v>3.4927090000000001</v>
      </c>
    </row>
    <row r="80" spans="1:11" x14ac:dyDescent="0.2">
      <c r="A80" t="s">
        <v>300</v>
      </c>
      <c r="B80" s="62">
        <v>1.240899</v>
      </c>
      <c r="C80" s="62">
        <v>2.4371679999999998</v>
      </c>
      <c r="D80" s="62">
        <v>2.175135</v>
      </c>
      <c r="E80" s="62">
        <v>1.971225</v>
      </c>
      <c r="F80" s="62">
        <v>1.796602</v>
      </c>
      <c r="G80" s="62">
        <v>1.157403</v>
      </c>
      <c r="H80" s="62">
        <v>1.5999099999999999</v>
      </c>
      <c r="I80" s="62">
        <v>2.1758920000000002</v>
      </c>
      <c r="J80" s="62">
        <v>2.3069920000000002</v>
      </c>
      <c r="K80" s="62">
        <v>3.4927090000000001</v>
      </c>
    </row>
    <row r="81" spans="1:11" x14ac:dyDescent="0.2">
      <c r="A81" t="s">
        <v>301</v>
      </c>
      <c r="B81" s="62">
        <v>1.0193509999999999</v>
      </c>
      <c r="C81" s="62">
        <v>1.994469</v>
      </c>
      <c r="D81" s="62">
        <v>1.757668</v>
      </c>
      <c r="E81" s="62">
        <v>1.584379</v>
      </c>
      <c r="F81" s="62">
        <v>0.87281399999999998</v>
      </c>
      <c r="G81" s="62">
        <v>0.67658600000000002</v>
      </c>
      <c r="H81" s="62">
        <v>1.103502</v>
      </c>
      <c r="I81" s="62">
        <v>1.647373</v>
      </c>
      <c r="J81" s="62">
        <v>1.858331</v>
      </c>
      <c r="K81" s="62">
        <v>2.7092360000000002</v>
      </c>
    </row>
    <row r="82" spans="1:11" x14ac:dyDescent="0.2">
      <c r="A82" t="s">
        <v>302</v>
      </c>
      <c r="B82" s="62">
        <v>82.146161000000006</v>
      </c>
      <c r="C82" s="62">
        <v>81.835511999999994</v>
      </c>
      <c r="D82" s="62">
        <v>80.807320000000004</v>
      </c>
      <c r="E82" s="62">
        <v>80.375370000000004</v>
      </c>
      <c r="F82" s="62">
        <v>48.581363000000003</v>
      </c>
      <c r="G82" s="62">
        <v>58.457289000000003</v>
      </c>
      <c r="H82" s="62">
        <v>68.972775999999996</v>
      </c>
      <c r="I82" s="62">
        <v>75.710227000000003</v>
      </c>
      <c r="J82" s="62">
        <v>80.552113000000006</v>
      </c>
      <c r="K82" s="62">
        <v>77.56832</v>
      </c>
    </row>
    <row r="83" spans="1:11" x14ac:dyDescent="0.2">
      <c r="A83" t="s">
        <v>303</v>
      </c>
      <c r="B83" s="62">
        <v>39.586750000000002</v>
      </c>
      <c r="C83" s="62">
        <v>53.672566000000003</v>
      </c>
      <c r="D83" s="62">
        <v>52.774526000000002</v>
      </c>
      <c r="E83" s="62">
        <v>57.485937</v>
      </c>
      <c r="F83" s="62">
        <v>60.444777999999999</v>
      </c>
      <c r="G83" s="62">
        <v>76.586326</v>
      </c>
      <c r="H83" s="62">
        <v>59.676695000000002</v>
      </c>
      <c r="I83" s="62">
        <v>88.395617000000001</v>
      </c>
      <c r="J83" s="62">
        <v>73.459839000000002</v>
      </c>
      <c r="K83" s="62">
        <v>178.21475899999999</v>
      </c>
    </row>
    <row r="84" spans="1:11" x14ac:dyDescent="0.2">
      <c r="A84" t="s">
        <v>304</v>
      </c>
      <c r="B84" s="62"/>
      <c r="C84" s="62"/>
      <c r="D84" s="62"/>
      <c r="E84" s="62"/>
      <c r="F84" s="62"/>
      <c r="G84" s="62"/>
      <c r="H84" s="62"/>
      <c r="I84" s="62"/>
      <c r="J84" s="62"/>
      <c r="K84" s="62"/>
    </row>
    <row r="85" spans="1:11" x14ac:dyDescent="0.2">
      <c r="A85" t="s">
        <v>305</v>
      </c>
      <c r="B85" s="62">
        <v>0.45622600000000002</v>
      </c>
      <c r="C85" s="62">
        <v>-0.52950799999999998</v>
      </c>
      <c r="D85" s="62">
        <v>0.51086100000000001</v>
      </c>
      <c r="E85" s="62">
        <v>0.50071200000000005</v>
      </c>
      <c r="F85" s="62">
        <v>1.3253349999999999</v>
      </c>
      <c r="G85" s="62">
        <v>2.0140790000000002</v>
      </c>
      <c r="H85" s="62">
        <v>1.4785889999999999</v>
      </c>
      <c r="I85" s="62">
        <v>1.404126</v>
      </c>
      <c r="J85" s="62">
        <v>0.60792199999999996</v>
      </c>
      <c r="K85" s="62">
        <v>0.23167699999999999</v>
      </c>
    </row>
    <row r="86" spans="1:11" x14ac:dyDescent="0.2">
      <c r="A86" t="s">
        <v>306</v>
      </c>
      <c r="B86" s="62">
        <v>0.75136899999999995</v>
      </c>
      <c r="C86" s="62">
        <v>-0.396673</v>
      </c>
      <c r="D86" s="62">
        <v>0.86132399999999998</v>
      </c>
      <c r="E86" s="62">
        <v>0.687195</v>
      </c>
      <c r="F86" s="62">
        <v>1.719592</v>
      </c>
      <c r="G86" s="62">
        <v>2.8634740000000001</v>
      </c>
      <c r="H86" s="62">
        <v>1.902998</v>
      </c>
      <c r="I86" s="62">
        <v>1.8123089999999999</v>
      </c>
      <c r="J86" s="62">
        <v>0.76965600000000001</v>
      </c>
      <c r="K86" s="62">
        <v>0.30436800000000003</v>
      </c>
    </row>
    <row r="87" spans="1:11" x14ac:dyDescent="0.2">
      <c r="A87" t="s">
        <v>307</v>
      </c>
      <c r="B87" s="62">
        <v>2.8018869999999998</v>
      </c>
      <c r="C87" s="62">
        <v>3.1651639999999999</v>
      </c>
      <c r="D87" s="62">
        <v>3.3224719999999999</v>
      </c>
      <c r="E87" s="62">
        <v>2.5852550000000001</v>
      </c>
      <c r="F87" s="62">
        <v>2.4138359999999999</v>
      </c>
      <c r="G87" s="62">
        <v>3.120676</v>
      </c>
      <c r="H87" s="62">
        <v>3.1623839999999999</v>
      </c>
      <c r="I87" s="62">
        <v>3.386879</v>
      </c>
      <c r="J87" s="62">
        <v>3.0077210000000001</v>
      </c>
      <c r="K87" s="62">
        <v>2.4236680000000002</v>
      </c>
    </row>
    <row r="88" spans="1:11" x14ac:dyDescent="0.2">
      <c r="A88" t="s">
        <v>308</v>
      </c>
      <c r="B88" s="62">
        <v>8.9806950000000008</v>
      </c>
      <c r="C88" s="62">
        <v>7.745247</v>
      </c>
      <c r="D88" s="62">
        <v>9.4425530000000002</v>
      </c>
      <c r="E88" s="62">
        <v>11.223048</v>
      </c>
      <c r="F88" s="62">
        <v>8.6217109999999995</v>
      </c>
      <c r="G88" s="62">
        <v>5.9710609999999997</v>
      </c>
      <c r="H88" s="62">
        <v>6.8404910000000001</v>
      </c>
      <c r="I88" s="62">
        <v>7.8116440000000003</v>
      </c>
      <c r="J88" s="62">
        <v>10.302222</v>
      </c>
      <c r="K88" s="62">
        <v>14.701389000000001</v>
      </c>
    </row>
    <row r="89" spans="1:11" x14ac:dyDescent="0.2">
      <c r="A89" t="s">
        <v>309</v>
      </c>
      <c r="B89" s="62">
        <v>10.23166</v>
      </c>
      <c r="C89" s="62">
        <v>9.2775669999999995</v>
      </c>
      <c r="D89" s="62">
        <v>11.361701999999999</v>
      </c>
      <c r="E89" s="62">
        <v>13.059480000000001</v>
      </c>
      <c r="F89" s="62">
        <v>10.555921</v>
      </c>
      <c r="G89" s="62">
        <v>7.9935689999999999</v>
      </c>
      <c r="H89" s="62">
        <v>8.9539880000000007</v>
      </c>
      <c r="I89" s="62">
        <v>10.126711999999999</v>
      </c>
      <c r="J89" s="62">
        <v>13.24</v>
      </c>
      <c r="K89" s="62">
        <v>19.423611000000001</v>
      </c>
    </row>
    <row r="90" spans="1:11" x14ac:dyDescent="0.2">
      <c r="A90" t="s">
        <v>310</v>
      </c>
      <c r="B90" s="62">
        <v>8.9806950000000008</v>
      </c>
      <c r="C90" s="62">
        <v>7.745247</v>
      </c>
      <c r="D90" s="62">
        <v>9.4425530000000002</v>
      </c>
      <c r="E90" s="62">
        <v>11.223048</v>
      </c>
      <c r="F90" s="62">
        <v>8.6217109999999995</v>
      </c>
      <c r="G90" s="62">
        <v>5.9710609999999997</v>
      </c>
      <c r="H90" s="62">
        <v>6.8404910000000001</v>
      </c>
      <c r="I90" s="62">
        <v>7.8116440000000003</v>
      </c>
      <c r="J90" s="62">
        <v>10.302222</v>
      </c>
      <c r="K90" s="62">
        <v>14.701389000000001</v>
      </c>
    </row>
    <row r="91" spans="1:11" x14ac:dyDescent="0.2">
      <c r="A91" t="s">
        <v>311</v>
      </c>
      <c r="B91" s="62">
        <v>9.3204630000000002</v>
      </c>
      <c r="C91" s="62">
        <v>9.224335</v>
      </c>
      <c r="D91" s="62">
        <v>9.5914889999999993</v>
      </c>
      <c r="E91" s="62">
        <v>9.8773230000000005</v>
      </c>
      <c r="F91" s="62">
        <v>7.9572370000000001</v>
      </c>
      <c r="G91" s="62">
        <v>10.012862</v>
      </c>
      <c r="H91" s="62">
        <v>8.1533739999999995</v>
      </c>
      <c r="I91" s="62">
        <v>10.773973</v>
      </c>
      <c r="J91" s="62">
        <v>12.56</v>
      </c>
      <c r="K91" s="62">
        <v>28.006944000000001</v>
      </c>
    </row>
    <row r="92" spans="1:11" x14ac:dyDescent="0.2">
      <c r="A92" t="s">
        <v>312</v>
      </c>
      <c r="B92" s="62">
        <v>4.5928709999999997</v>
      </c>
      <c r="C92" s="62">
        <v>4.7727269999999997</v>
      </c>
      <c r="D92" s="62">
        <v>5.3803679999999998</v>
      </c>
      <c r="E92" s="62">
        <v>5.9892700000000003</v>
      </c>
      <c r="F92" s="62">
        <v>5.9038029999999999</v>
      </c>
      <c r="G92" s="62">
        <v>6.9408029999999998</v>
      </c>
      <c r="H92" s="62"/>
      <c r="I92" s="62"/>
      <c r="J92" s="62"/>
      <c r="K92" s="62"/>
    </row>
    <row r="93" spans="1:11" x14ac:dyDescent="0.2">
      <c r="A93" t="s">
        <v>313</v>
      </c>
      <c r="B93" s="62">
        <v>2.2913209999999999</v>
      </c>
      <c r="C93" s="62">
        <v>3.0163929999999999</v>
      </c>
      <c r="D93" s="62">
        <v>3.0483150000000001</v>
      </c>
      <c r="E93" s="62">
        <v>2.2564760000000001</v>
      </c>
      <c r="F93" s="62">
        <v>2.5104389999999999</v>
      </c>
      <c r="G93" s="62">
        <v>2.8958170000000001</v>
      </c>
      <c r="H93" s="62">
        <v>2.6327509999999998</v>
      </c>
      <c r="I93" s="62">
        <v>3.12276</v>
      </c>
      <c r="J93" s="62">
        <v>2.520645</v>
      </c>
      <c r="K93" s="62">
        <v>2.4236680000000002</v>
      </c>
    </row>
    <row r="94" spans="1:11" x14ac:dyDescent="0.2">
      <c r="A94" t="s">
        <v>314</v>
      </c>
      <c r="B94" s="62">
        <v>0.672794</v>
      </c>
      <c r="C94" s="62">
        <v>-0.31230200000000002</v>
      </c>
      <c r="D94" s="62">
        <v>0.72709999999999997</v>
      </c>
      <c r="E94" s="62">
        <v>0.75564299999999995</v>
      </c>
      <c r="F94" s="62">
        <v>1.7893140000000001</v>
      </c>
      <c r="G94" s="62">
        <v>1.712154</v>
      </c>
      <c r="H94" s="62">
        <v>1.334158</v>
      </c>
      <c r="I94" s="62">
        <v>2.0473370000000002</v>
      </c>
      <c r="J94" s="62">
        <v>0.64540299999999995</v>
      </c>
      <c r="K94" s="62">
        <v>0.15656</v>
      </c>
    </row>
    <row r="95" spans="1:11" x14ac:dyDescent="0.2">
      <c r="A95" t="s">
        <v>315</v>
      </c>
      <c r="B95" s="62">
        <v>2.4803920000000002</v>
      </c>
      <c r="C95" s="62">
        <v>2.9206349999999999</v>
      </c>
      <c r="D95" s="62">
        <v>3.0935009999999998</v>
      </c>
      <c r="E95" s="62">
        <v>2.840201</v>
      </c>
      <c r="F95" s="62">
        <v>3.0526710000000001</v>
      </c>
      <c r="G95" s="62">
        <v>2.1928109999999998</v>
      </c>
      <c r="H95" s="62">
        <v>2.3755799999999998</v>
      </c>
      <c r="I95" s="62">
        <v>4.5532539999999999</v>
      </c>
      <c r="J95" s="62">
        <v>2.6760510000000002</v>
      </c>
      <c r="K95" s="62">
        <v>1.6378349999999999</v>
      </c>
    </row>
    <row r="96" spans="1:11" x14ac:dyDescent="0.2">
      <c r="A96" t="s">
        <v>316</v>
      </c>
      <c r="B96" s="62">
        <v>0.24876000000000001</v>
      </c>
      <c r="C96" s="62">
        <v>0.239426</v>
      </c>
      <c r="D96" s="62">
        <v>0.19161400000000001</v>
      </c>
      <c r="E96" s="62">
        <v>0.234627</v>
      </c>
      <c r="F96" s="62">
        <v>0.23810100000000001</v>
      </c>
      <c r="G96" s="62">
        <v>0.30948399999999998</v>
      </c>
      <c r="H96" s="62">
        <v>0.21742</v>
      </c>
      <c r="I96" s="62">
        <v>0.24762899999999999</v>
      </c>
      <c r="J96" s="62">
        <v>0.245536</v>
      </c>
      <c r="K96" s="62">
        <v>0.49638599999999999</v>
      </c>
    </row>
    <row r="97" spans="1:11" x14ac:dyDescent="0.2">
      <c r="A97" t="s">
        <v>317</v>
      </c>
      <c r="B97" s="62">
        <v>0.307008</v>
      </c>
      <c r="C97" s="62">
        <v>0.29484700000000003</v>
      </c>
      <c r="D97" s="62">
        <v>0.23927799999999999</v>
      </c>
      <c r="E97" s="62">
        <v>0.28170099999999998</v>
      </c>
      <c r="F97" s="62">
        <v>0.29446099999999997</v>
      </c>
      <c r="G97" s="62">
        <v>0.37195400000000001</v>
      </c>
      <c r="H97" s="62">
        <v>0.287943</v>
      </c>
      <c r="I97" s="62">
        <v>0.31412899999999999</v>
      </c>
      <c r="J97" s="62">
        <v>0.31540200000000002</v>
      </c>
      <c r="K97" s="62">
        <v>0.59492599999999995</v>
      </c>
    </row>
    <row r="98" spans="1:11" x14ac:dyDescent="0.2">
      <c r="A98" t="s">
        <v>318</v>
      </c>
      <c r="B98" s="62">
        <v>3.1921750000000002</v>
      </c>
      <c r="C98" s="62">
        <v>3.7913600000000001</v>
      </c>
      <c r="D98" s="62">
        <v>3.9977469999999999</v>
      </c>
      <c r="E98" s="62">
        <v>3.0082810000000002</v>
      </c>
      <c r="F98" s="62">
        <v>2.9553609999999999</v>
      </c>
      <c r="G98" s="62">
        <v>4.1777059999999997</v>
      </c>
      <c r="H98" s="62">
        <v>4.139462</v>
      </c>
      <c r="I98" s="62">
        <v>4.3906179999999999</v>
      </c>
      <c r="J98" s="62">
        <v>3.8654009999999999</v>
      </c>
      <c r="K98" s="62">
        <v>3.2021730000000002</v>
      </c>
    </row>
    <row r="99" spans="1:11" x14ac:dyDescent="0.2">
      <c r="A99" t="s">
        <v>319</v>
      </c>
      <c r="B99" s="62">
        <v>0.51977600000000002</v>
      </c>
      <c r="C99" s="62">
        <v>-0.634266</v>
      </c>
      <c r="D99" s="62">
        <v>0.61469099999999999</v>
      </c>
      <c r="E99" s="62">
        <v>0.58264300000000002</v>
      </c>
      <c r="F99" s="62">
        <v>1.622663</v>
      </c>
      <c r="G99" s="62">
        <v>2.6962839999999999</v>
      </c>
      <c r="H99" s="62">
        <v>1.9354260000000001</v>
      </c>
      <c r="I99" s="62">
        <v>1.820254</v>
      </c>
      <c r="J99" s="62">
        <v>0.781277</v>
      </c>
      <c r="K99" s="62">
        <v>0.30609399999999998</v>
      </c>
    </row>
    <row r="100" spans="1:11" x14ac:dyDescent="0.2">
      <c r="A100" t="s">
        <v>320</v>
      </c>
      <c r="B100" s="62">
        <v>8.4633199999999995</v>
      </c>
      <c r="C100" s="62">
        <v>7.5437260000000004</v>
      </c>
      <c r="D100" s="62">
        <v>9.4510640000000006</v>
      </c>
      <c r="E100" s="62">
        <v>11.408922</v>
      </c>
      <c r="F100" s="62">
        <v>9.0328949999999999</v>
      </c>
      <c r="G100" s="62">
        <v>6.3118970000000001</v>
      </c>
      <c r="H100" s="62">
        <v>6.9570550000000004</v>
      </c>
      <c r="I100" s="62">
        <v>7.8458899999999998</v>
      </c>
      <c r="J100" s="62">
        <v>10.457777999999999</v>
      </c>
      <c r="K100" s="62">
        <v>14.784722</v>
      </c>
    </row>
    <row r="101" spans="1:11" x14ac:dyDescent="0.2">
      <c r="A101" t="s">
        <v>321</v>
      </c>
      <c r="B101" s="62"/>
      <c r="C101" s="62"/>
      <c r="D101" s="62"/>
      <c r="E101" s="62"/>
      <c r="F101" s="62"/>
      <c r="G101" s="62"/>
      <c r="H101" s="62"/>
      <c r="I101" s="62"/>
      <c r="J101" s="62"/>
      <c r="K101" s="62"/>
    </row>
    <row r="102" spans="1:11" x14ac:dyDescent="0.2">
      <c r="A102" t="s">
        <v>322</v>
      </c>
      <c r="B102" s="62">
        <v>117.72004699999999</v>
      </c>
      <c r="C102" s="62">
        <v>115.07192000000001</v>
      </c>
      <c r="D102" s="62">
        <v>157.94682700000001</v>
      </c>
      <c r="E102" s="62">
        <v>81.069748000000004</v>
      </c>
      <c r="F102" s="62">
        <v>226.228587</v>
      </c>
      <c r="G102" s="62">
        <v>250.83623700000001</v>
      </c>
      <c r="H102" s="62">
        <v>122.353128</v>
      </c>
      <c r="I102" s="62">
        <v>114.722326</v>
      </c>
      <c r="J102" s="62">
        <v>71.249644000000004</v>
      </c>
      <c r="K102" s="62">
        <v>103.086983</v>
      </c>
    </row>
    <row r="103" spans="1:11" x14ac:dyDescent="0.2">
      <c r="A103" t="s">
        <v>323</v>
      </c>
      <c r="B103" s="62">
        <v>46.632362999999998</v>
      </c>
      <c r="C103" s="62">
        <v>50.328228000000003</v>
      </c>
      <c r="D103" s="62">
        <v>55.849859000000002</v>
      </c>
      <c r="E103" s="62">
        <v>41.264966000000001</v>
      </c>
      <c r="F103" s="62">
        <v>68.410325999999998</v>
      </c>
      <c r="G103" s="62">
        <v>64.036648</v>
      </c>
      <c r="H103" s="62">
        <v>49.542290000000001</v>
      </c>
      <c r="I103" s="62">
        <v>51.118245999999999</v>
      </c>
      <c r="J103" s="62">
        <v>38.509667</v>
      </c>
      <c r="K103" s="62">
        <v>50.760015000000003</v>
      </c>
    </row>
    <row r="104" spans="1:11" x14ac:dyDescent="0.2">
      <c r="A104" t="s">
        <v>324</v>
      </c>
      <c r="B104" s="62">
        <v>31.355537999999999</v>
      </c>
      <c r="C104" s="62">
        <v>34.042552999999998</v>
      </c>
      <c r="D104" s="62">
        <v>39.035971000000004</v>
      </c>
      <c r="E104" s="62">
        <v>29.771652</v>
      </c>
      <c r="F104" s="62">
        <v>41.719315999999999</v>
      </c>
      <c r="G104" s="62">
        <v>39.611533000000001</v>
      </c>
      <c r="H104" s="62">
        <v>33.678075</v>
      </c>
      <c r="I104" s="62">
        <v>35.534519000000003</v>
      </c>
      <c r="J104" s="62">
        <v>31.488237999999999</v>
      </c>
      <c r="K104" s="62">
        <v>38.116390000000003</v>
      </c>
    </row>
    <row r="105" spans="1:11" x14ac:dyDescent="0.2">
      <c r="A105" t="s">
        <v>325</v>
      </c>
      <c r="B105" s="62">
        <v>40.604182999999999</v>
      </c>
      <c r="C105" s="62">
        <v>38.057353999999997</v>
      </c>
      <c r="D105" s="62">
        <v>45.179856000000001</v>
      </c>
      <c r="E105" s="62">
        <v>35.424022000000001</v>
      </c>
      <c r="F105" s="62">
        <v>42.542724</v>
      </c>
      <c r="G105" s="62">
        <v>46.065807999999997</v>
      </c>
      <c r="H105" s="62">
        <v>40.453130999999999</v>
      </c>
      <c r="I105" s="62">
        <v>38.539982999999999</v>
      </c>
      <c r="J105" s="62">
        <v>37.572859999999999</v>
      </c>
      <c r="K105" s="62">
        <v>38.116390000000003</v>
      </c>
    </row>
    <row r="106" spans="1:11" x14ac:dyDescent="0.2">
      <c r="A106" t="s">
        <v>326</v>
      </c>
      <c r="B106" s="62">
        <v>31.930980999999999</v>
      </c>
      <c r="C106" s="62">
        <v>-12.304565</v>
      </c>
      <c r="D106" s="62">
        <v>37.124004999999997</v>
      </c>
      <c r="E106" s="62">
        <v>21.568828</v>
      </c>
      <c r="F106" s="62">
        <v>132.60320100000001</v>
      </c>
      <c r="G106" s="62">
        <v>195.85365899999999</v>
      </c>
      <c r="H106" s="62">
        <v>68.715172999999993</v>
      </c>
      <c r="I106" s="62">
        <v>51.584048000000003</v>
      </c>
      <c r="J106" s="62">
        <v>17.183793999999999</v>
      </c>
      <c r="K106" s="62">
        <v>9.8540150000000004</v>
      </c>
    </row>
    <row r="107" spans="1:11" x14ac:dyDescent="0.2">
      <c r="A107" t="s">
        <v>327</v>
      </c>
      <c r="B107" s="62">
        <v>152.44280699999999</v>
      </c>
      <c r="C107" s="62">
        <v>128.64290199999999</v>
      </c>
      <c r="D107" s="62">
        <v>182.80613199999999</v>
      </c>
      <c r="E107" s="62">
        <v>96.461444</v>
      </c>
      <c r="F107" s="62">
        <v>230.693625</v>
      </c>
      <c r="G107" s="62">
        <v>291.70731699999999</v>
      </c>
      <c r="H107" s="62">
        <v>146.96704299999999</v>
      </c>
      <c r="I107" s="62">
        <v>124.425394</v>
      </c>
      <c r="J107" s="62">
        <v>85.017554000000004</v>
      </c>
      <c r="K107" s="62">
        <v>103.086983</v>
      </c>
    </row>
    <row r="108" spans="1:11" x14ac:dyDescent="0.2">
      <c r="A108" t="s">
        <v>328</v>
      </c>
      <c r="B108" s="62">
        <v>12.648797999999999</v>
      </c>
      <c r="C108" s="62">
        <v>-5.3815650000000002</v>
      </c>
      <c r="D108" s="62">
        <v>13.127015999999999</v>
      </c>
      <c r="E108" s="62">
        <v>10.978657</v>
      </c>
      <c r="F108" s="62">
        <v>40.098505000000003</v>
      </c>
      <c r="G108" s="62">
        <v>50</v>
      </c>
      <c r="H108" s="62">
        <v>27.823619999999998</v>
      </c>
      <c r="I108" s="62">
        <v>22.984942</v>
      </c>
      <c r="J108" s="62">
        <v>9.2876560000000001</v>
      </c>
      <c r="K108" s="62">
        <v>4.8521150000000004</v>
      </c>
    </row>
    <row r="109" spans="1:11" x14ac:dyDescent="0.2">
      <c r="A109" t="s">
        <v>329</v>
      </c>
      <c r="B109" s="62">
        <v>60.387067000000002</v>
      </c>
      <c r="C109" s="62">
        <v>56.263675999999997</v>
      </c>
      <c r="D109" s="62">
        <v>64.640088000000006</v>
      </c>
      <c r="E109" s="62">
        <v>49.099426999999999</v>
      </c>
      <c r="F109" s="62">
        <v>69.760530000000003</v>
      </c>
      <c r="G109" s="62">
        <v>74.470735000000005</v>
      </c>
      <c r="H109" s="62">
        <v>59.508766999999999</v>
      </c>
      <c r="I109" s="62">
        <v>55.441763000000002</v>
      </c>
      <c r="J109" s="62">
        <v>45.951073999999998</v>
      </c>
      <c r="K109" s="62">
        <v>50.760015000000003</v>
      </c>
    </row>
    <row r="110" spans="1:11" x14ac:dyDescent="0.2">
      <c r="A110" t="s">
        <v>330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FB6F-740D-4C21-A30E-FE8AF371EC21}">
  <dimension ref="A1:C9"/>
  <sheetViews>
    <sheetView workbookViewId="0">
      <selection activeCell="A39" sqref="A39"/>
    </sheetView>
  </sheetViews>
  <sheetFormatPr baseColWidth="10" defaultRowHeight="15" x14ac:dyDescent="0.2"/>
  <cols>
    <col min="1" max="1" width="13.1640625" bestFit="1" customWidth="1"/>
    <col min="2" max="2" width="12.1640625" bestFit="1" customWidth="1"/>
  </cols>
  <sheetData>
    <row r="1" spans="1:3" x14ac:dyDescent="0.2">
      <c r="A1" t="s">
        <v>448</v>
      </c>
      <c r="B1" s="63">
        <f>'10YR Treasury'!E69*12</f>
        <v>2.7880048387096755E-2</v>
      </c>
    </row>
    <row r="2" spans="1:3" x14ac:dyDescent="0.2">
      <c r="A2" t="s">
        <v>8</v>
      </c>
      <c r="B2">
        <f>'Excess Return Analysis'!I23</f>
        <v>1.3555671034532226</v>
      </c>
    </row>
    <row r="3" spans="1:3" x14ac:dyDescent="0.2">
      <c r="A3" t="s">
        <v>450</v>
      </c>
      <c r="B3" s="68">
        <v>0.04</v>
      </c>
    </row>
    <row r="5" spans="1:3" x14ac:dyDescent="0.2">
      <c r="A5" t="s">
        <v>451</v>
      </c>
      <c r="B5" s="63">
        <f>B1+B2*B3</f>
        <v>8.2102732525225652E-2</v>
      </c>
    </row>
    <row r="7" spans="1:3" x14ac:dyDescent="0.2">
      <c r="A7" t="s">
        <v>457</v>
      </c>
      <c r="B7" s="63">
        <v>7.6899999999999996E-2</v>
      </c>
      <c r="C7" t="s">
        <v>463</v>
      </c>
    </row>
    <row r="9" spans="1:3" x14ac:dyDescent="0.2">
      <c r="B9" s="6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b8f4bc-1d95-4c3f-aeac-6d9f630067d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42DA49DA2BC41A9C36D05A645EC80" ma:contentTypeVersion="16" ma:contentTypeDescription="Create a new document." ma:contentTypeScope="" ma:versionID="36c252f16c1d0eb79115e2ed3821f551">
  <xsd:schema xmlns:xsd="http://www.w3.org/2001/XMLSchema" xmlns:xs="http://www.w3.org/2001/XMLSchema" xmlns:p="http://schemas.microsoft.com/office/2006/metadata/properties" xmlns:ns3="d9b8f4bc-1d95-4c3f-aeac-6d9f630067de" xmlns:ns4="40f4ce4f-249f-4dc6-9e59-f1ea030de212" targetNamespace="http://schemas.microsoft.com/office/2006/metadata/properties" ma:root="true" ma:fieldsID="defbe40531532f234787a9230ccdee06" ns3:_="" ns4:_="">
    <xsd:import namespace="d9b8f4bc-1d95-4c3f-aeac-6d9f630067de"/>
    <xsd:import namespace="40f4ce4f-249f-4dc6-9e59-f1ea030de2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b8f4bc-1d95-4c3f-aeac-6d9f63006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ce4f-249f-4dc6-9e59-f1ea030de21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BF4F46-2B17-4153-8A3B-74F20A7C6A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C2A85D-E2A4-4DE9-9AF9-9C8EC4BB0766}">
  <ds:schemaRefs>
    <ds:schemaRef ds:uri="40f4ce4f-249f-4dc6-9e59-f1ea030de212"/>
    <ds:schemaRef ds:uri="http://purl.org/dc/terms/"/>
    <ds:schemaRef ds:uri="d9b8f4bc-1d95-4c3f-aeac-6d9f630067d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AADBE1C-AA5F-47B3-8901-9B1775E00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b8f4bc-1d95-4c3f-aeac-6d9f630067de"/>
    <ds:schemaRef ds:uri="40f4ce4f-249f-4dc6-9e59-f1ea030de2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Portfolio Management</vt:lpstr>
      <vt:lpstr>Excess Return Analysis</vt:lpstr>
      <vt:lpstr>DDM</vt:lpstr>
      <vt:lpstr>FCFF</vt:lpstr>
      <vt:lpstr>FCFE</vt:lpstr>
      <vt:lpstr>CI - Stock PX</vt:lpstr>
      <vt:lpstr>CI - dividend</vt:lpstr>
      <vt:lpstr>KMB - Stock PX</vt:lpstr>
      <vt:lpstr>KMB - Dividends </vt:lpstr>
      <vt:lpstr>EBAY - Stock PX</vt:lpstr>
      <vt:lpstr>EBAY - Dividends</vt:lpstr>
      <vt:lpstr>CAT - Stock PX</vt:lpstr>
      <vt:lpstr>CAT - Dividends</vt:lpstr>
      <vt:lpstr>SPX - Tot Ret</vt:lpstr>
      <vt:lpstr>10YR Treasury</vt:lpstr>
      <vt:lpstr>EBAY Income Statement</vt:lpstr>
      <vt:lpstr>EBAY Balance Sheet</vt:lpstr>
      <vt:lpstr>EBAY Cash Flows</vt:lpstr>
      <vt:lpstr>Ratios</vt:lpstr>
      <vt:lpstr>CAPM and 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Post, Nathaniel</cp:lastModifiedBy>
  <cp:revision/>
  <dcterms:created xsi:type="dcterms:W3CDTF">2013-04-03T15:49:21Z</dcterms:created>
  <dcterms:modified xsi:type="dcterms:W3CDTF">2026-01-13T18:33:05Z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0x01010074542DA49DA2BC41A9C36D05A645EC80</vt:lpwstr>
  </property>
</Properties>
</file>